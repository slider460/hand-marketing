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КП" sheetId="2" state="visible" r:id="rId2"/>
    <sheet xmlns:r="http://schemas.openxmlformats.org/officeDocument/2006/relationships" name="Прайс" sheetId="3" state="visible" r:id="rId3"/>
  </sheets>
  <definedNames>
    <definedName name="_xlnm._FilterDatabase" localSheetId="1" hidden="1">'КП'!$A$4:$P$249</definedName>
    <definedName name="_xlnm.Print_Titles" localSheetId="1">'КП'!$4:$4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&quot;-&quot;"/>
    <numFmt numFmtId="165" formatCode="0.##"/>
  </numFmts>
  <fonts count="14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0000FF"/>
      <sz val="9"/>
    </font>
    <font>
      <name val="Arial"/>
      <color rgb="00000000"/>
      <sz val="9"/>
    </font>
    <font>
      <name val="Arial"/>
      <color rgb="00595959"/>
      <sz val="9"/>
    </font>
    <font>
      <name val="Arial"/>
      <color rgb="000000FF"/>
      <sz val="9"/>
    </font>
    <font>
      <name val="Arial"/>
      <b val="1"/>
      <color rgb="00000000"/>
      <sz val="9"/>
    </font>
    <font>
      <name val="Arial"/>
      <color rgb="00008000"/>
      <sz val="9"/>
    </font>
    <font>
      <name val="Arial"/>
      <color rgb="007F7F7F"/>
      <sz val="9"/>
    </font>
    <font>
      <name val="Arial"/>
      <b val="1"/>
      <color rgb="00000000"/>
      <sz val="14"/>
    </font>
    <font>
      <name val="Arial"/>
      <b val="1"/>
      <color rgb="00000000"/>
      <sz val="11"/>
    </font>
    <font>
      <name val="Arial"/>
      <b val="1"/>
      <color rgb="00008000"/>
      <sz val="9"/>
    </font>
  </fonts>
  <fills count="7">
    <fill>
      <patternFill/>
    </fill>
    <fill>
      <patternFill patternType="gray125"/>
    </fill>
    <fill>
      <patternFill patternType="solid">
        <fgColor rgb="000F0F0F"/>
      </patternFill>
    </fill>
    <fill>
      <patternFill patternType="solid">
        <fgColor rgb="00FFFF00"/>
      </patternFill>
    </fill>
    <fill>
      <patternFill patternType="solid">
        <fgColor rgb="00E8F2D4"/>
      </patternFill>
    </fill>
    <fill>
      <patternFill patternType="solid">
        <fgColor rgb="00F2F2EE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1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8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0" fillId="6" borderId="1" applyAlignment="1" pivotButton="0" quotePrefix="0" xfId="0">
      <alignment horizontal="center" vertical="top" wrapText="1"/>
    </xf>
    <xf numFmtId="0" fontId="10" fillId="6" borderId="1" pivotButton="0" quotePrefix="0" xfId="0"/>
    <xf numFmtId="164" fontId="13" fillId="0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164" fontId="8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165" fontId="5" fillId="0" borderId="1" applyAlignment="1" pivotButton="0" quotePrefix="0" xfId="0">
      <alignment vertical="top"/>
    </xf>
    <xf numFmtId="164" fontId="9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9" fontId="9" fillId="0" borderId="1" applyAlignment="1" pivotButton="0" quotePrefix="0" xfId="0">
      <alignment vertical="top"/>
    </xf>
    <xf numFmtId="164" fontId="8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0" fillId="6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9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9" fontId="9" fillId="0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right" vertical="top"/>
    </xf>
    <xf numFmtId="164" fontId="0" fillId="0" borderId="1" applyAlignment="1" pivotButton="0" quotePrefix="0" xfId="0">
      <alignment vertical="top"/>
    </xf>
    <xf numFmtId="0" fontId="2" fillId="0" borderId="0" pivotButton="0" quotePrefix="0" xfId="0"/>
    <xf numFmtId="0" fontId="3" fillId="2" borderId="0" pivotButton="0" quotePrefix="0" xfId="0"/>
    <xf numFmtId="0" fontId="5" fillId="0" borderId="1" pivotButton="0" quotePrefix="0" xfId="0"/>
    <xf numFmtId="9" fontId="4" fillId="3" borderId="1" applyAlignment="1" pivotButton="0" quotePrefix="0" xfId="0">
      <alignment horizontal="center"/>
    </xf>
    <xf numFmtId="0" fontId="6" fillId="0" borderId="1" pivotButton="0" quotePrefix="0" xfId="0"/>
    <xf numFmtId="1" fontId="4" fillId="3" borderId="1" applyAlignment="1" pivotButton="0" quotePrefix="0" xfId="0">
      <alignment horizontal="center"/>
    </xf>
    <xf numFmtId="164" fontId="7" fillId="3" borderId="1" pivotButton="0" quotePrefix="0" xfId="0"/>
    <xf numFmtId="164" fontId="8" fillId="0" borderId="1" pivotButton="0" quotePrefix="0" xfId="0"/>
    <xf numFmtId="164" fontId="5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14" customWidth="1" min="3" max="3"/>
    <col width="22" customWidth="1" min="4" max="4"/>
    <col width="40" customWidth="1" min="5" max="5"/>
    <col width="11" customWidth="1" min="6" max="6"/>
  </cols>
  <sheetData>
    <row r="1">
      <c r="A1" s="1" t="inlineStr">
        <is>
          <t>ООО «Хэнд-маркетинг» · предложение для вендор-листа ГК «Киевская площадь»</t>
        </is>
      </c>
    </row>
    <row r="2">
      <c r="A2" s="2" t="inlineStr">
        <is>
          <t>Заказчик: ООО «Центральная Площадь», ИНН 7730338370. Срок подачи: 23.10.2026.</t>
        </is>
      </c>
    </row>
    <row r="4">
      <c r="A4" s="3" t="inlineStr">
        <is>
          <t>Общие условия</t>
        </is>
      </c>
    </row>
    <row r="5" ht="26" customHeight="1">
      <c r="A5" s="4" t="inlineStr">
        <is>
          <t>Оказываем направлений</t>
        </is>
      </c>
      <c r="B5" s="5">
        <f>COUNTIF(C18:C48,"Оказываем")&amp;" из 31"</f>
        <v/>
      </c>
    </row>
    <row r="6" ht="26" customHeight="1">
      <c r="A6" s="4" t="inlineStr">
        <is>
          <t>Стоимость работ</t>
        </is>
      </c>
      <c r="B6" s="5" t="inlineStr">
        <is>
          <t>По каждой позиции на листе «КП», ставки на листе «Прайс»</t>
        </is>
      </c>
    </row>
    <row r="7" ht="26" customHeight="1">
      <c r="A7" s="4" t="inlineStr">
        <is>
          <t>НДС</t>
        </is>
      </c>
      <c r="B7" s="5">
        <f>"Цены без НДС. НДС "&amp;TEXT(Прайс!$B$5,"0%")&amp;" начисляется сверху"</f>
        <v/>
      </c>
    </row>
    <row r="8" ht="26" customHeight="1">
      <c r="A8" s="4" t="inlineStr">
        <is>
          <t>Скидка</t>
        </is>
      </c>
      <c r="B8" s="5">
        <f>"Скидка участника вендор-листа "&amp;TEXT(Прайс!$B$6,"0%")&amp;" на работу агентства уже в КП: креатив, дизайн, тексты, CGI, фото- и видеосъемка, продюсирование, концепции, эскизы, агентская комиссия. На производство, тиражи и закупки скидку даем от объема конкретного заказа."</f>
        <v/>
      </c>
    </row>
    <row r="9" ht="26" customHeight="1">
      <c r="A9" s="4" t="inlineStr">
        <is>
          <t>Условия оплаты: услуги</t>
        </is>
      </c>
      <c r="B9" s="5">
        <f>"100% по факту, оплата в течение "&amp;Прайс!$B$8&amp;" р.д. после акта, без аванса"</f>
        <v/>
      </c>
    </row>
    <row r="10" ht="26" customHeight="1">
      <c r="A10" s="4" t="inlineStr">
        <is>
          <t>Условия оплаты: услуги с расходами на подрядчиков</t>
        </is>
      </c>
      <c r="B10" s="5">
        <f>"Аванс "&amp;TEXT(Прайс!$B$11,"0%")&amp;" на расходы подрядчиков, остаток в течение "&amp;Прайс!$B$8&amp;" р.д. после акта"</f>
        <v/>
      </c>
    </row>
    <row r="11" ht="26" customHeight="1">
      <c r="A11" s="4" t="inlineStr">
        <is>
          <t>Условия оплаты: производство, закупки, мероприятия</t>
        </is>
      </c>
      <c r="B11" s="5">
        <f>"Аванс "&amp;TEXT(Прайс!$B$7,"0%")&amp;", остаток "&amp;TEXT(1-Прайс!$B$7,"0%")&amp;" после акта"</f>
        <v/>
      </c>
    </row>
    <row r="12" ht="26" customHeight="1">
      <c r="A12" s="4" t="inlineStr">
        <is>
          <t>Фиксация цен</t>
        </is>
      </c>
      <c r="B12" s="5">
        <f>"Работа агентства: "&amp;Прайс!$B$9&amp;" мес. с даты КП. Производство и закупки: "&amp;Прайс!$B$10&amp;" мес. с даты КП, дальше пересчет по ценам поставщиков"</f>
        <v/>
      </c>
    </row>
    <row r="13" ht="26" customHeight="1">
      <c r="A13" s="4" t="inlineStr">
        <is>
          <t>Юрлица холдинга</t>
        </is>
      </c>
      <c r="B13" s="5" t="inlineStr">
        <is>
          <t>Один закрепленный менеджер и одинаковые условия для всех 7 юрлиц из письма № 38/2026</t>
        </is>
      </c>
    </row>
    <row r="14" ht="26" customHeight="1">
      <c r="A14" s="4" t="inlineStr">
        <is>
          <t>Менеджер</t>
        </is>
      </c>
      <c r="B14" s="5" t="inlineStr">
        <is>
          <t>Народецкий Александр, Client Service Director, +7 985 999 87 83, anarodetsky@hand-marketing.ru</t>
        </is>
      </c>
    </row>
    <row r="16">
      <c r="A16" s="3" t="inlineStr">
        <is>
          <t>Направления</t>
        </is>
      </c>
    </row>
    <row r="17" ht="30" customHeight="1">
      <c r="A17" s="6" t="inlineStr">
        <is>
          <t>№</t>
        </is>
      </c>
      <c r="B17" s="6" t="inlineStr">
        <is>
          <t>Направление</t>
        </is>
      </c>
      <c r="C17" s="6" t="inlineStr">
        <is>
          <t>Участие</t>
        </is>
      </c>
      <c r="D17" s="6" t="inlineStr">
        <is>
          <t>Итог расчета по запросу ТЗ со скидкой, руб. без НДС</t>
        </is>
      </c>
      <c r="E17" s="6" t="inlineStr">
        <is>
          <t>Условия оплаты</t>
        </is>
      </c>
      <c r="F17" s="6" t="inlineStr">
        <is>
          <t>Фиксация</t>
        </is>
      </c>
    </row>
    <row r="18">
      <c r="A18" s="7" t="n">
        <v>1</v>
      </c>
      <c r="B18" s="8" t="inlineStr">
        <is>
          <t>Рекламно-производственное агентство</t>
        </is>
      </c>
      <c r="C18" s="8" t="inlineStr">
        <is>
          <t>Оказываем</t>
        </is>
      </c>
      <c r="D18" s="9" t="inlineStr">
        <is>
          <t>Часть расчетов по запросу, см. лист «КП»</t>
        </is>
      </c>
      <c r="E18" s="8">
        <f>"Аванс "&amp;TEXT(Прайс!$B$7,"0%")&amp;", остаток "&amp;TEXT(1-Прайс!$B$7,"0%")&amp;" после акта"</f>
        <v/>
      </c>
      <c r="F18" s="8">
        <f>Прайс!$B$10&amp;" мес."</f>
        <v/>
      </c>
    </row>
    <row r="19">
      <c r="A19" s="10" t="n">
        <v>2</v>
      </c>
      <c r="B19" s="11" t="inlineStr">
        <is>
          <t>Наружная реклама</t>
        </is>
      </c>
      <c r="C19" s="11" t="inlineStr">
        <is>
          <t>Не оказываем</t>
        </is>
      </c>
      <c r="D19" s="11" t="n"/>
      <c r="E19" s="11" t="n"/>
      <c r="F19" s="11" t="n"/>
    </row>
    <row r="20">
      <c r="A20" s="7" t="n">
        <v>3</v>
      </c>
      <c r="B20" s="8" t="inlineStr">
        <is>
          <t>Монтажные и демонтажные работы</t>
        </is>
      </c>
      <c r="C20" s="8" t="inlineStr">
        <is>
          <t>Оказываем</t>
        </is>
      </c>
      <c r="D20" s="12">
        <f>КП!J21</f>
        <v/>
      </c>
      <c r="E20" s="8">
        <f>"100% по факту, оплата в течение "&amp;Прайс!$B$8&amp;" р.д. после акта, без аванса"</f>
        <v/>
      </c>
      <c r="F20" s="8">
        <f>Прайс!$B$9&amp;" мес."</f>
        <v/>
      </c>
    </row>
    <row r="21">
      <c r="A21" s="10" t="n">
        <v>4</v>
      </c>
      <c r="B21" s="11" t="inlineStr">
        <is>
          <t>Альпинисты, высотные работы</t>
        </is>
      </c>
      <c r="C21" s="11" t="inlineStr">
        <is>
          <t>Не оказываем</t>
        </is>
      </c>
      <c r="D21" s="11" t="n"/>
      <c r="E21" s="11" t="n"/>
      <c r="F21" s="11" t="n"/>
    </row>
    <row r="22">
      <c r="A22" s="7" t="n">
        <v>5</v>
      </c>
      <c r="B22" s="8" t="inlineStr">
        <is>
          <t>Пластиковые карты</t>
        </is>
      </c>
      <c r="C22" s="8" t="inlineStr">
        <is>
          <t>Оказываем</t>
        </is>
      </c>
      <c r="D22" s="9" t="inlineStr">
        <is>
          <t>Несколько расчетов, см. лист «КП»</t>
        </is>
      </c>
      <c r="E22" s="8">
        <f>"Аванс "&amp;TEXT(Прайс!$B$7,"0%")&amp;", остаток "&amp;TEXT(1-Прайс!$B$7,"0%")&amp;" после акта"</f>
        <v/>
      </c>
      <c r="F22" s="8">
        <f>Прайс!$B$10&amp;" мес."</f>
        <v/>
      </c>
    </row>
    <row r="23">
      <c r="A23" s="7" t="n">
        <v>6</v>
      </c>
      <c r="B23" s="8" t="inlineStr">
        <is>
          <t>Брендированные вешалки</t>
        </is>
      </c>
      <c r="C23" s="8" t="inlineStr">
        <is>
          <t>Оказываем</t>
        </is>
      </c>
      <c r="D23" s="9" t="inlineStr">
        <is>
          <t>Несколько расчетов, см. лист «КП»</t>
        </is>
      </c>
      <c r="E23" s="8">
        <f>"Аванс "&amp;TEXT(Прайс!$B$7,"0%")&amp;", остаток "&amp;TEXT(1-Прайс!$B$7,"0%")&amp;" после акта"</f>
        <v/>
      </c>
      <c r="F23" s="8">
        <f>Прайс!$B$10&amp;" мес."</f>
        <v/>
      </c>
    </row>
    <row r="24">
      <c r="A24" s="7" t="n">
        <v>7</v>
      </c>
      <c r="B24" s="8" t="inlineStr">
        <is>
          <t>Брендированные тишью</t>
        </is>
      </c>
      <c r="C24" s="8" t="inlineStr">
        <is>
          <t>Оказываем</t>
        </is>
      </c>
      <c r="D24" s="9" t="inlineStr">
        <is>
          <t>Несколько расчетов, см. лист «КП»</t>
        </is>
      </c>
      <c r="E24" s="8">
        <f>"Аванс "&amp;TEXT(Прайс!$B$7,"0%")&amp;", остаток "&amp;TEXT(1-Прайс!$B$7,"0%")&amp;" после акта"</f>
        <v/>
      </c>
      <c r="F24" s="8">
        <f>Прайс!$B$10&amp;" мес."</f>
        <v/>
      </c>
    </row>
    <row r="25">
      <c r="A25" s="7" t="n">
        <v>8</v>
      </c>
      <c r="B25" s="8" t="inlineStr">
        <is>
          <t>Брендированные кофры</t>
        </is>
      </c>
      <c r="C25" s="8" t="inlineStr">
        <is>
          <t>Оказываем</t>
        </is>
      </c>
      <c r="D25" s="9" t="inlineStr">
        <is>
          <t>Несколько расчетов, см. лист «КП»</t>
        </is>
      </c>
      <c r="E25" s="8">
        <f>"Аванс "&amp;TEXT(Прайс!$B$7,"0%")&amp;", остаток "&amp;TEXT(1-Прайс!$B$7,"0%")&amp;" после акта"</f>
        <v/>
      </c>
      <c r="F25" s="8">
        <f>Прайс!$B$10&amp;" мес."</f>
        <v/>
      </c>
    </row>
    <row r="26">
      <c r="A26" s="7" t="n">
        <v>9</v>
      </c>
      <c r="B26" s="8" t="inlineStr">
        <is>
          <t>CGI &amp; AI-студия, CGI-ролики</t>
        </is>
      </c>
      <c r="C26" s="8" t="inlineStr">
        <is>
          <t>Оказываем</t>
        </is>
      </c>
      <c r="D26" s="12">
        <f>КП!J69</f>
        <v/>
      </c>
      <c r="E26" s="8">
        <f>"100% по факту, оплата в течение "&amp;Прайс!$B$8&amp;" р.д. после акта, без аванса"</f>
        <v/>
      </c>
      <c r="F26" s="8">
        <f>Прайс!$B$9&amp;" мес."</f>
        <v/>
      </c>
    </row>
    <row r="27">
      <c r="A27" s="7" t="n">
        <v>10</v>
      </c>
      <c r="B27" s="8" t="inlineStr">
        <is>
          <t>Брендинг</t>
        </is>
      </c>
      <c r="C27" s="8" t="inlineStr">
        <is>
          <t>Оказываем</t>
        </is>
      </c>
      <c r="D27" s="12">
        <f>КП!J77</f>
        <v/>
      </c>
      <c r="E27" s="8">
        <f>"100% по факту, оплата в течение "&amp;Прайс!$B$8&amp;" р.д. после акта, без аванса"</f>
        <v/>
      </c>
      <c r="F27" s="8">
        <f>Прайс!$B$9&amp;" мес."</f>
        <v/>
      </c>
    </row>
    <row r="28">
      <c r="A28" s="7" t="n">
        <v>11</v>
      </c>
      <c r="B28" s="8" t="inlineStr">
        <is>
          <t>Дизайн макетов</t>
        </is>
      </c>
      <c r="C28" s="8" t="inlineStr">
        <is>
          <t>Оказываем</t>
        </is>
      </c>
      <c r="D28" s="9" t="inlineStr">
        <is>
          <t>Несколько расчетов, см. лист «КП»</t>
        </is>
      </c>
      <c r="E28" s="8">
        <f>"100% по факту, оплата в течение "&amp;Прайс!$B$8&amp;" р.д. после акта, без аванса"</f>
        <v/>
      </c>
      <c r="F28" s="8">
        <f>Прайс!$B$9&amp;" мес."</f>
        <v/>
      </c>
    </row>
    <row r="29">
      <c r="A29" s="7" t="n">
        <v>12</v>
      </c>
      <c r="B29" s="8" t="inlineStr">
        <is>
          <t>Написание текстов</t>
        </is>
      </c>
      <c r="C29" s="8" t="inlineStr">
        <is>
          <t>Оказываем</t>
        </is>
      </c>
      <c r="D29" s="9" t="inlineStr">
        <is>
          <t>Несколько расчетов, см. лист «КП»</t>
        </is>
      </c>
      <c r="E29" s="8">
        <f>"100% по факту, оплата в течение "&amp;Прайс!$B$8&amp;" р.д. после акта, без аванса"</f>
        <v/>
      </c>
      <c r="F29" s="8">
        <f>Прайс!$B$9&amp;" мес."</f>
        <v/>
      </c>
    </row>
    <row r="30">
      <c r="A30" s="7" t="n">
        <v>13</v>
      </c>
      <c r="B30" s="8" t="inlineStr">
        <is>
          <t>Продюсер съемок</t>
        </is>
      </c>
      <c r="C30" s="8" t="inlineStr">
        <is>
          <t>Оказываем</t>
        </is>
      </c>
      <c r="D30" s="12">
        <f>КП!J95</f>
        <v/>
      </c>
      <c r="E30" s="8">
        <f>"Аванс "&amp;TEXT(Прайс!$B$11,"0%")&amp;" на расходы подрядчиков, остаток в течение "&amp;Прайс!$B$8&amp;" р.д. после акта"</f>
        <v/>
      </c>
      <c r="F30" s="8">
        <f>Прайс!$B$9&amp;" мес."</f>
        <v/>
      </c>
    </row>
    <row r="31">
      <c r="A31" s="7" t="n">
        <v>14</v>
      </c>
      <c r="B31" s="8" t="inlineStr">
        <is>
          <t>Фотограф</t>
        </is>
      </c>
      <c r="C31" s="8" t="inlineStr">
        <is>
          <t>Оказываем</t>
        </is>
      </c>
      <c r="D31" s="9" t="inlineStr">
        <is>
          <t>Несколько расчетов, см. лист «КП»</t>
        </is>
      </c>
      <c r="E31" s="8">
        <f>"100% по факту, оплата в течение "&amp;Прайс!$B$8&amp;" р.д. после акта, без аванса"</f>
        <v/>
      </c>
      <c r="F31" s="8">
        <f>Прайс!$B$9&amp;" мес."</f>
        <v/>
      </c>
    </row>
    <row r="32">
      <c r="A32" s="7" t="n">
        <v>15</v>
      </c>
      <c r="B32" s="8" t="inlineStr">
        <is>
          <t>Видеограф</t>
        </is>
      </c>
      <c r="C32" s="8" t="inlineStr">
        <is>
          <t>Оказываем</t>
        </is>
      </c>
      <c r="D32" s="9" t="inlineStr">
        <is>
          <t>Несколько расчетов, см. лист «КП»</t>
        </is>
      </c>
      <c r="E32" s="8">
        <f>"100% по факту, оплата в течение "&amp;Прайс!$B$8&amp;" р.д. после акта, без аванса"</f>
        <v/>
      </c>
      <c r="F32" s="8">
        <f>Прайс!$B$9&amp;" мес."</f>
        <v/>
      </c>
    </row>
    <row r="33">
      <c r="A33" s="7" t="n">
        <v>16</v>
      </c>
      <c r="B33" s="8" t="inlineStr">
        <is>
          <t>Мерч, корпоративные подарки</t>
        </is>
      </c>
      <c r="C33" s="8" t="inlineStr">
        <is>
          <t>Оказываем</t>
        </is>
      </c>
      <c r="D33" s="9" t="inlineStr">
        <is>
          <t>Часть расчетов по запросу, см. лист «КП»</t>
        </is>
      </c>
      <c r="E33" s="8">
        <f>"Аванс "&amp;TEXT(Прайс!$B$7,"0%")&amp;", остаток "&amp;TEXT(1-Прайс!$B$7,"0%")&amp;" после акта"</f>
        <v/>
      </c>
      <c r="F33" s="8">
        <f>Прайс!$B$10&amp;" мес."</f>
        <v/>
      </c>
    </row>
    <row r="34">
      <c r="A34" s="7" t="n">
        <v>17</v>
      </c>
      <c r="B34" s="8" t="inlineStr">
        <is>
          <t>Сувенирная продукция, PR-боксы</t>
        </is>
      </c>
      <c r="C34" s="8" t="inlineStr">
        <is>
          <t>Оказываем</t>
        </is>
      </c>
      <c r="D34" s="9" t="inlineStr">
        <is>
          <t>Часть расчетов по запросу, см. лист «КП»</t>
        </is>
      </c>
      <c r="E34" s="8">
        <f>"Аванс "&amp;TEXT(Прайс!$B$7,"0%")&amp;", остаток "&amp;TEXT(1-Прайс!$B$7,"0%")&amp;" после акта"</f>
        <v/>
      </c>
      <c r="F34" s="8">
        <f>Прайс!$B$10&amp;" мес."</f>
        <v/>
      </c>
    </row>
    <row r="35">
      <c r="A35" s="7" t="n">
        <v>18</v>
      </c>
      <c r="B35" s="8" t="inlineStr">
        <is>
          <t>Брендированная вода</t>
        </is>
      </c>
      <c r="C35" s="8" t="inlineStr">
        <is>
          <t>Оказываем</t>
        </is>
      </c>
      <c r="D35" s="9" t="inlineStr">
        <is>
          <t>Несколько расчетов, см. лист «КП»</t>
        </is>
      </c>
      <c r="E35" s="8">
        <f>"Аванс "&amp;TEXT(Прайс!$B$7,"0%")&amp;", остаток "&amp;TEXT(1-Прайс!$B$7,"0%")&amp;" после акта"</f>
        <v/>
      </c>
      <c r="F35" s="8">
        <f>Прайс!$B$10&amp;" мес."</f>
        <v/>
      </c>
    </row>
    <row r="36">
      <c r="A36" s="7" t="n">
        <v>19</v>
      </c>
      <c r="B36" s="8" t="inlineStr">
        <is>
          <t>Свечи и диффузоры</t>
        </is>
      </c>
      <c r="C36" s="8" t="inlineStr">
        <is>
          <t>Оказываем</t>
        </is>
      </c>
      <c r="D36" s="9" t="inlineStr">
        <is>
          <t>Несколько расчетов, см. лист «КП»</t>
        </is>
      </c>
      <c r="E36" s="8">
        <f>"Аванс "&amp;TEXT(Прайс!$B$7,"0%")&amp;", остаток "&amp;TEXT(1-Прайс!$B$7,"0%")&amp;" после акта"</f>
        <v/>
      </c>
      <c r="F36" s="8">
        <f>Прайс!$B$10&amp;" мес."</f>
        <v/>
      </c>
    </row>
    <row r="37">
      <c r="A37" s="7" t="n">
        <v>20</v>
      </c>
      <c r="B37" s="8" t="inlineStr">
        <is>
          <t>Шоколад</t>
        </is>
      </c>
      <c r="C37" s="8" t="inlineStr">
        <is>
          <t>Оказываем</t>
        </is>
      </c>
      <c r="D37" s="12">
        <f>КП!J174</f>
        <v/>
      </c>
      <c r="E37" s="8">
        <f>"Аванс "&amp;TEXT(Прайс!$B$7,"0%")&amp;", остаток "&amp;TEXT(1-Прайс!$B$7,"0%")&amp;" после акта"</f>
        <v/>
      </c>
      <c r="F37" s="8">
        <f>Прайс!$B$10&amp;" мес."</f>
        <v/>
      </c>
    </row>
    <row r="38">
      <c r="A38" s="7" t="n">
        <v>21</v>
      </c>
      <c r="B38" s="8" t="inlineStr">
        <is>
          <t>Форма для сотрудников</t>
        </is>
      </c>
      <c r="C38" s="8" t="inlineStr">
        <is>
          <t>Оказываем</t>
        </is>
      </c>
      <c r="D38" s="9" t="inlineStr">
        <is>
          <t>Несколько расчетов, см. лист «КП»</t>
        </is>
      </c>
      <c r="E38" s="8">
        <f>"Аванс "&amp;TEXT(Прайс!$B$7,"0%")&amp;", остаток "&amp;TEXT(1-Прайс!$B$7,"0%")&amp;" после акта"</f>
        <v/>
      </c>
      <c r="F38" s="8">
        <f>Прайс!$B$10&amp;" мес."</f>
        <v/>
      </c>
    </row>
    <row r="39">
      <c r="A39" s="7" t="n">
        <v>22</v>
      </c>
      <c r="B39" s="8" t="inlineStr">
        <is>
          <t>Агентство по организации мероприятий</t>
        </is>
      </c>
      <c r="C39" s="8" t="inlineStr">
        <is>
          <t>Оказываем</t>
        </is>
      </c>
      <c r="D39" s="12">
        <f>КП!J184</f>
        <v/>
      </c>
      <c r="E39" s="8">
        <f>"Аванс "&amp;TEXT(Прайс!$B$7,"0%")&amp;", остаток "&amp;TEXT(1-Прайс!$B$7,"0%")&amp;" после акта"</f>
        <v/>
      </c>
      <c r="F39" s="8">
        <f>Прайс!$B$10&amp;" мес."</f>
        <v/>
      </c>
    </row>
    <row r="40">
      <c r="A40" s="7" t="n">
        <v>23</v>
      </c>
      <c r="B40" s="8" t="inlineStr">
        <is>
          <t>Декорирование, флористика</t>
        </is>
      </c>
      <c r="C40" s="8" t="inlineStr">
        <is>
          <t>Оказываем</t>
        </is>
      </c>
      <c r="D40" s="9" t="inlineStr">
        <is>
          <t>Часть расчетов по запросу, см. лист «КП»</t>
        </is>
      </c>
      <c r="E40" s="8">
        <f>"Аванс "&amp;TEXT(Прайс!$B$7,"0%")&amp;", остаток "&amp;TEXT(1-Прайс!$B$7,"0%")&amp;" после акта"</f>
        <v/>
      </c>
      <c r="F40" s="8">
        <f>Прайс!$B$10&amp;" мес."</f>
        <v/>
      </c>
    </row>
    <row r="41">
      <c r="A41" s="7" t="n">
        <v>24</v>
      </c>
      <c r="B41" s="8" t="inlineStr">
        <is>
          <t>Кейтеринг</t>
        </is>
      </c>
      <c r="C41" s="8" t="inlineStr">
        <is>
          <t>Оказываем</t>
        </is>
      </c>
      <c r="D41" s="9" t="inlineStr">
        <is>
          <t>Несколько расчетов, см. лист «КП»</t>
        </is>
      </c>
      <c r="E41" s="8">
        <f>"Аванс "&amp;TEXT(Прайс!$B$7,"0%")&amp;", остаток "&amp;TEXT(1-Прайс!$B$7,"0%")&amp;" после акта"</f>
        <v/>
      </c>
      <c r="F41" s="8">
        <f>Прайс!$B$10&amp;" мес."</f>
        <v/>
      </c>
    </row>
    <row r="42">
      <c r="A42" s="7" t="n">
        <v>25</v>
      </c>
      <c r="B42" s="8" t="inlineStr">
        <is>
          <t>Звук и свет</t>
        </is>
      </c>
      <c r="C42" s="8" t="inlineStr">
        <is>
          <t>Оказываем</t>
        </is>
      </c>
      <c r="D42" s="12">
        <f>КП!J213</f>
        <v/>
      </c>
      <c r="E42" s="8">
        <f>"Аванс "&amp;TEXT(Прайс!$B$11,"0%")&amp;" на расходы подрядчиков, остаток в течение "&amp;Прайс!$B$8&amp;" р.д. после акта"</f>
        <v/>
      </c>
      <c r="F42" s="8">
        <f>Прайс!$B$9&amp;" мес."</f>
        <v/>
      </c>
    </row>
    <row r="43">
      <c r="A43" s="7" t="n">
        <v>26</v>
      </c>
      <c r="B43" s="8" t="inlineStr">
        <is>
          <t>Звукорежиссер</t>
        </is>
      </c>
      <c r="C43" s="8" t="inlineStr">
        <is>
          <t>Оказываем</t>
        </is>
      </c>
      <c r="D43" s="12">
        <f>КП!J221</f>
        <v/>
      </c>
      <c r="E43" s="8">
        <f>"Аванс "&amp;TEXT(Прайс!$B$11,"0%")&amp;" на расходы подрядчиков, остаток в течение "&amp;Прайс!$B$8&amp;" р.д. после акта"</f>
        <v/>
      </c>
      <c r="F43" s="8">
        <f>Прайс!$B$9&amp;" мес."</f>
        <v/>
      </c>
    </row>
    <row r="44">
      <c r="A44" s="7" t="n">
        <v>27</v>
      </c>
      <c r="B44" s="8" t="inlineStr">
        <is>
          <t>Диджей</t>
        </is>
      </c>
      <c r="C44" s="8" t="inlineStr">
        <is>
          <t>Оказываем</t>
        </is>
      </c>
      <c r="D44" s="9" t="inlineStr">
        <is>
          <t>Несколько расчетов, см. лист «КП»</t>
        </is>
      </c>
      <c r="E44" s="8">
        <f>"Аванс "&amp;TEXT(Прайс!$B$11,"0%")&amp;" на расходы подрядчиков, остаток в течение "&amp;Прайс!$B$8&amp;" р.д. после акта"</f>
        <v/>
      </c>
      <c r="F44" s="8">
        <f>Прайс!$B$9&amp;" мес."</f>
        <v/>
      </c>
    </row>
    <row r="45">
      <c r="A45" s="7" t="n">
        <v>28</v>
      </c>
      <c r="B45" s="8" t="inlineStr">
        <is>
          <t>Аренда мебели</t>
        </is>
      </c>
      <c r="C45" s="8" t="inlineStr">
        <is>
          <t>Оказываем</t>
        </is>
      </c>
      <c r="D45" s="12">
        <f>КП!J226</f>
        <v/>
      </c>
      <c r="E45" s="8">
        <f>"Аванс "&amp;TEXT(Прайс!$B$7,"0%")&amp;", остаток "&amp;TEXT(1-Прайс!$B$7,"0%")&amp;" после акта"</f>
        <v/>
      </c>
      <c r="F45" s="8">
        <f>Прайс!$B$10&amp;" мес."</f>
        <v/>
      </c>
    </row>
    <row r="46">
      <c r="A46" s="7" t="n">
        <v>29</v>
      </c>
      <c r="B46" s="8" t="inlineStr">
        <is>
          <t>Закупка мебели</t>
        </is>
      </c>
      <c r="C46" s="8" t="inlineStr">
        <is>
          <t>Оказываем</t>
        </is>
      </c>
      <c r="D46" s="9" t="inlineStr">
        <is>
          <t>По запросу, срок расчета на листе «КП»</t>
        </is>
      </c>
      <c r="E46" s="8">
        <f>"Аванс "&amp;TEXT(Прайс!$B$7,"0%")&amp;", остаток "&amp;TEXT(1-Прайс!$B$7,"0%")&amp;" после акта"</f>
        <v/>
      </c>
      <c r="F46" s="8">
        <f>Прайс!$B$10&amp;" мес."</f>
        <v/>
      </c>
    </row>
    <row r="47">
      <c r="A47" s="7" t="n">
        <v>30</v>
      </c>
      <c r="B47" s="8" t="inlineStr">
        <is>
          <t>Стажеры, персонал</t>
        </is>
      </c>
      <c r="C47" s="8" t="inlineStr">
        <is>
          <t>Оказываем</t>
        </is>
      </c>
      <c r="D47" s="9" t="inlineStr">
        <is>
          <t>Несколько расчетов, см. лист «КП»</t>
        </is>
      </c>
      <c r="E47" s="8">
        <f>"Аванс "&amp;TEXT(Прайс!$B$11,"0%")&amp;" на расходы подрядчиков, остаток в течение "&amp;Прайс!$B$8&amp;" р.д. после акта"</f>
        <v/>
      </c>
      <c r="F47" s="8">
        <f>Прайс!$B$9&amp;" мес."</f>
        <v/>
      </c>
    </row>
    <row r="48">
      <c r="A48" s="7" t="n">
        <v>31</v>
      </c>
      <c r="B48" s="8" t="inlineStr">
        <is>
          <t>Фотозона</t>
        </is>
      </c>
      <c r="C48" s="8" t="inlineStr">
        <is>
          <t>Оказываем</t>
        </is>
      </c>
      <c r="D48" s="9" t="inlineStr">
        <is>
          <t>По запросу, срок расчета на листе «КП»</t>
        </is>
      </c>
      <c r="E48" s="8">
        <f>"Аванс "&amp;TEXT(Прайс!$B$7,"0%")&amp;", остаток "&amp;TEXT(1-Прайс!$B$7,"0%")&amp;" после акта"</f>
        <v/>
      </c>
      <c r="F48" s="8">
        <f>Прайс!$B$10&amp;" мес."</f>
        <v/>
      </c>
    </row>
    <row r="50">
      <c r="A50" s="2" t="inlineStr">
        <is>
          <t>ООО «Хэнд-маркетинг» · ИНН 7709931482 · КПП 770901001 · ОГРН 1137746525608 · 123022, Москва, ул. Рочдельская, 14А · hand-marketing.ru</t>
        </is>
      </c>
    </row>
  </sheetData>
  <mergeCells count="11">
    <mergeCell ref="A2:F2"/>
    <mergeCell ref="B12:F12"/>
    <mergeCell ref="B7:F7"/>
    <mergeCell ref="B6:F6"/>
    <mergeCell ref="B10:F10"/>
    <mergeCell ref="B11:F11"/>
    <mergeCell ref="B5:F5"/>
    <mergeCell ref="B14:F14"/>
    <mergeCell ref="B8:F8"/>
    <mergeCell ref="B9:F9"/>
    <mergeCell ref="B13:F13"/>
  </mergeCells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4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46" customWidth="1" min="4" max="4"/>
    <col width="9" customWidth="1" min="5" max="5"/>
    <col width="8" customWidth="1" min="6" max="6"/>
    <col width="13" customWidth="1" min="7" max="7"/>
    <col width="14" customWidth="1" min="8" max="8"/>
    <col width="8" customWidth="1" min="9" max="9"/>
    <col width="15" customWidth="1" min="10" max="10"/>
    <col width="12" customWidth="1" min="11" max="11"/>
    <col width="14" customWidth="1" min="12" max="12"/>
    <col width="22" customWidth="1" min="13" max="13"/>
    <col width="22" customWidth="1" min="14" max="14"/>
    <col width="11" customWidth="1" min="15" max="15"/>
    <col width="40" customWidth="1" min="16" max="16"/>
  </cols>
  <sheetData>
    <row r="1">
      <c r="A1" s="13" t="inlineStr">
        <is>
          <t>Коммерческое предложение ООО «Хэнд-маркетинг» · вендор-лист маркетинговых подрядчиков ГК «Киевская площадь»</t>
        </is>
      </c>
    </row>
    <row r="2" ht="26" customHeight="1">
      <c r="A2" s="14" t="inlineStr">
        <is>
          <t>Объекты: ТРЦ «Ривьера», Центральный рынок, МФК «Венеция», ТЦ «Времена года», ТЦ «ЦДМ на Лубянке». Расчеты по запросам ТЗ. Цены в рублях без НДС, НДС 22% начисляется сверху. Доставка в расчетах по адресу: Москва, ул. Автозаводская, д. 18.</t>
        </is>
      </c>
    </row>
    <row r="4" ht="40" customHeight="1">
      <c r="A4" s="6" t="inlineStr">
        <is>
          <t>№</t>
        </is>
      </c>
      <c r="B4" s="6" t="inlineStr">
        <is>
          <t>Направление</t>
        </is>
      </c>
      <c r="C4" s="6" t="inlineStr">
        <is>
          <t>Объекты</t>
        </is>
      </c>
      <c r="D4" s="6" t="inlineStr">
        <is>
          <t>Расчет по запросу ТЗ</t>
        </is>
      </c>
      <c r="E4" s="6" t="inlineStr">
        <is>
          <t>Ед. изм.</t>
        </is>
      </c>
      <c r="F4" s="6" t="inlineStr">
        <is>
          <t>Объем</t>
        </is>
      </c>
      <c r="G4" s="6" t="inlineStr">
        <is>
          <t>Цена за ед. по прайсу, руб. без НДС</t>
        </is>
      </c>
      <c r="H4" s="6" t="inlineStr">
        <is>
          <t>Стоимость по прайсу, руб. без НДС</t>
        </is>
      </c>
      <c r="I4" s="6" t="inlineStr">
        <is>
          <t>Скидка</t>
        </is>
      </c>
      <c r="J4" s="6" t="inlineStr">
        <is>
          <t>Стоимость со скидкой, руб. без НДС</t>
        </is>
      </c>
      <c r="K4" s="6" t="inlineStr">
        <is>
          <t>НДС 22%, руб.</t>
        </is>
      </c>
      <c r="L4" s="6" t="inlineStr">
        <is>
          <t>Итого с НДС, руб.</t>
        </is>
      </c>
      <c r="M4" s="6" t="inlineStr">
        <is>
          <t>Срок выполнения</t>
        </is>
      </c>
      <c r="N4" s="6" t="inlineStr">
        <is>
          <t>Условия оплаты</t>
        </is>
      </c>
      <c r="O4" s="6" t="inlineStr">
        <is>
          <t>Фиксация цены</t>
        </is>
      </c>
      <c r="P4" s="6" t="inlineStr">
        <is>
          <t>Примечание</t>
        </is>
      </c>
    </row>
    <row r="5">
      <c r="A5" s="15" t="n">
        <v>1</v>
      </c>
      <c r="B5" s="16" t="inlineStr">
        <is>
          <t>Рекламно-производственное агентство</t>
        </is>
      </c>
      <c r="C5" s="17" t="inlineStr">
        <is>
          <t>Венеция, Ривьера</t>
        </is>
      </c>
      <c r="D5" s="18" t="inlineStr">
        <is>
          <t>Позиция ТЗ</t>
        </is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>
        <f>"Аванс "&amp;TEXT(Прайс!$B$7,"0%")&amp;", остаток "&amp;TEXT(1-Прайс!$B$7,"0%")&amp;" после акта"</f>
        <v/>
      </c>
      <c r="O5" s="17">
        <f>Прайс!$B$10&amp;" мес."</f>
        <v/>
      </c>
      <c r="P5" s="17" t="inlineStr">
        <is>
          <t>Объемные буквы считаем по макету: цену задают шрифт, борт и тип подсветки. Гарантия 12 мес. на конструкции, 12 мес. на электрику и подсветку. Ночной монтаж 23:00-07:00: плюс 30% к стоимости монтажа, в расчете лайтбокса уже учтен. Доставка до объекта в расчетах отдельной строкой. Замер бесплатно, выезд в течение 1 р.д.</t>
        </is>
      </c>
    </row>
    <row r="6">
      <c r="A6" s="19" t="n"/>
      <c r="B6" s="19" t="n"/>
      <c r="C6" s="19" t="n"/>
      <c r="D6" s="20" t="inlineStr">
        <is>
          <t>(1) Лайтбокс 1,2 × 1,8 м с монтажом на стену</t>
        </is>
      </c>
      <c r="E6" s="9" t="inlineStr">
        <is>
          <t>итого</t>
        </is>
      </c>
      <c r="F6" s="19" t="n"/>
      <c r="G6" s="19" t="n"/>
      <c r="H6" s="21">
        <f>SUM(H7:H10)</f>
        <v/>
      </c>
      <c r="I6" s="19" t="n"/>
      <c r="J6" s="21">
        <f>SUM(J7:J10)</f>
        <v/>
      </c>
      <c r="K6" s="21">
        <f>SUM(K7:K10)</f>
        <v/>
      </c>
      <c r="L6" s="21">
        <f>SUM(L7:L10)</f>
        <v/>
      </c>
      <c r="M6" s="19" t="inlineStr">
        <is>
          <t>7 р.д. производство, монтаж 1 ночь</t>
        </is>
      </c>
      <c r="N6" s="19" t="n"/>
      <c r="O6" s="19" t="n"/>
      <c r="P6" s="19" t="n"/>
    </row>
    <row r="7">
      <c r="A7" s="22" t="n"/>
      <c r="B7" s="22" t="n"/>
      <c r="C7" s="22" t="n"/>
      <c r="D7" s="8" t="inlineStr">
        <is>
          <t xml:space="preserve">   Лайтбокс односторонний 1,2 × 1,8 м, LED-подсветка, изготовление</t>
        </is>
      </c>
      <c r="E7" s="22" t="inlineStr">
        <is>
          <t>шт.</t>
        </is>
      </c>
      <c r="F7" s="23" t="n">
        <v>1</v>
      </c>
      <c r="G7" s="24">
        <f>Прайс!E17</f>
        <v/>
      </c>
      <c r="H7" s="25">
        <f>ROUND(F7*G7,0)</f>
        <v/>
      </c>
      <c r="I7" s="26" t="n">
        <v>0</v>
      </c>
      <c r="J7" s="27">
        <f>ROUND(H7*(1-I7),0)</f>
        <v/>
      </c>
      <c r="K7" s="25">
        <f>ROUND(J7*Прайс!$B$5,0)</f>
        <v/>
      </c>
      <c r="L7" s="27">
        <f>J7+K7</f>
        <v/>
      </c>
      <c r="M7" s="8" t="n"/>
      <c r="N7" s="8" t="n"/>
      <c r="O7" s="22" t="n"/>
      <c r="P7" s="8" t="n"/>
    </row>
    <row r="8">
      <c r="A8" s="22" t="n"/>
      <c r="B8" s="22" t="n"/>
      <c r="C8" s="22" t="n"/>
      <c r="D8" s="8" t="inlineStr">
        <is>
          <t xml:space="preserve">   Монтаж лайтбокса на стену, подключение</t>
        </is>
      </c>
      <c r="E8" s="22" t="inlineStr">
        <is>
          <t>шт.</t>
        </is>
      </c>
      <c r="F8" s="23" t="n">
        <v>1</v>
      </c>
      <c r="G8" s="24">
        <f>Прайс!E18</f>
        <v/>
      </c>
      <c r="H8" s="25">
        <f>ROUND(F8*G8,0)</f>
        <v/>
      </c>
      <c r="I8" s="26" t="n">
        <v>0</v>
      </c>
      <c r="J8" s="27">
        <f>ROUND(H8*(1-I8),0)</f>
        <v/>
      </c>
      <c r="K8" s="25">
        <f>ROUND(J8*Прайс!$B$5,0)</f>
        <v/>
      </c>
      <c r="L8" s="27">
        <f>J8+K8</f>
        <v/>
      </c>
      <c r="M8" s="8" t="n"/>
      <c r="N8" s="8" t="n"/>
      <c r="O8" s="22" t="n"/>
      <c r="P8" s="8" t="n"/>
    </row>
    <row r="9">
      <c r="A9" s="22" t="n"/>
      <c r="B9" s="22" t="n"/>
      <c r="C9" s="22" t="n"/>
      <c r="D9" s="8" t="inlineStr">
        <is>
          <t xml:space="preserve">   Доплата за ночной монтаж 23:00-07:00, 30% к монтажу</t>
        </is>
      </c>
      <c r="E9" s="22" t="inlineStr">
        <is>
          <t>компл.</t>
        </is>
      </c>
      <c r="F9" s="23" t="n">
        <v>1</v>
      </c>
      <c r="G9" s="24">
        <f>Прайс!E19</f>
        <v/>
      </c>
      <c r="H9" s="25">
        <f>ROUND(F9*G9,0)</f>
        <v/>
      </c>
      <c r="I9" s="26" t="n">
        <v>0</v>
      </c>
      <c r="J9" s="27">
        <f>ROUND(H9*(1-I9),0)</f>
        <v/>
      </c>
      <c r="K9" s="25">
        <f>ROUND(J9*Прайс!$B$5,0)</f>
        <v/>
      </c>
      <c r="L9" s="27">
        <f>J9+K9</f>
        <v/>
      </c>
      <c r="M9" s="8" t="n"/>
      <c r="N9" s="8" t="n"/>
      <c r="O9" s="22" t="n"/>
      <c r="P9" s="8" t="inlineStr">
        <is>
          <t>монтаж ночью</t>
        </is>
      </c>
    </row>
    <row r="10">
      <c r="A10" s="22" t="n"/>
      <c r="B10" s="22" t="n"/>
      <c r="C10" s="22" t="n"/>
      <c r="D10" s="8" t="inlineStr">
        <is>
          <t xml:space="preserve">   Доставка конструкций на объект по Москве</t>
        </is>
      </c>
      <c r="E10" s="22" t="inlineStr">
        <is>
          <t>рейс</t>
        </is>
      </c>
      <c r="F10" s="23" t="n">
        <v>1</v>
      </c>
      <c r="G10" s="24">
        <f>Прайс!E20</f>
        <v/>
      </c>
      <c r="H10" s="25">
        <f>ROUND(F10*G10,0)</f>
        <v/>
      </c>
      <c r="I10" s="26" t="n">
        <v>0</v>
      </c>
      <c r="J10" s="27">
        <f>ROUND(H10*(1-I10),0)</f>
        <v/>
      </c>
      <c r="K10" s="25">
        <f>ROUND(J10*Прайс!$B$5,0)</f>
        <v/>
      </c>
      <c r="L10" s="27">
        <f>J10+K10</f>
        <v/>
      </c>
      <c r="M10" s="8" t="n"/>
      <c r="N10" s="8" t="n"/>
      <c r="O10" s="22" t="n"/>
      <c r="P10" s="8" t="inlineStr">
        <is>
          <t>до Автозаводской, 18</t>
        </is>
      </c>
    </row>
    <row r="11">
      <c r="A11" s="19" t="n"/>
      <c r="B11" s="19" t="n"/>
      <c r="C11" s="19" t="n"/>
      <c r="D11" s="20" t="inlineStr">
        <is>
          <t>(2) Объемные буквы 40 см, 10 знаков, монтаж на высоте 4 м</t>
        </is>
      </c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inlineStr">
        <is>
          <t>Расчет за 2 р.д. после макета и замера</t>
        </is>
      </c>
      <c r="N11" s="19" t="n"/>
      <c r="O11" s="19" t="n"/>
      <c r="P11" s="19" t="n"/>
    </row>
    <row r="12">
      <c r="A12" s="22" t="n"/>
      <c r="B12" s="22" t="n"/>
      <c r="C12" s="22" t="n"/>
      <c r="D12" s="8" t="inlineStr">
        <is>
          <t xml:space="preserve">   Объемная буква с внутренней подсветкой, высота 40 см</t>
        </is>
      </c>
      <c r="E12" s="22" t="inlineStr">
        <is>
          <t>знак</t>
        </is>
      </c>
      <c r="F12" s="23" t="n">
        <v>10</v>
      </c>
      <c r="G12" s="28" t="inlineStr">
        <is>
          <t>По запросу</t>
        </is>
      </c>
      <c r="H12" s="22" t="n"/>
      <c r="I12" s="29" t="n"/>
      <c r="J12" s="28" t="inlineStr">
        <is>
          <t>По запросу</t>
        </is>
      </c>
      <c r="K12" s="22" t="n"/>
      <c r="L12" s="28" t="inlineStr">
        <is>
          <t>По запросу</t>
        </is>
      </c>
      <c r="M12" s="8" t="n"/>
      <c r="N12" s="8" t="n"/>
      <c r="O12" s="22" t="n"/>
      <c r="P12" s="8" t="n"/>
    </row>
    <row r="13">
      <c r="A13" s="22" t="n"/>
      <c r="B13" s="22" t="n"/>
      <c r="C13" s="22" t="n"/>
      <c r="D13" s="8" t="inlineStr">
        <is>
          <t xml:space="preserve">   Блок питания, коммутация, подложка вывески</t>
        </is>
      </c>
      <c r="E13" s="22" t="inlineStr">
        <is>
          <t>компл.</t>
        </is>
      </c>
      <c r="F13" s="23" t="n">
        <v>1</v>
      </c>
      <c r="G13" s="28" t="inlineStr">
        <is>
          <t>По запросу</t>
        </is>
      </c>
      <c r="H13" s="22" t="n"/>
      <c r="I13" s="29" t="n"/>
      <c r="J13" s="28" t="inlineStr">
        <is>
          <t>По запросу</t>
        </is>
      </c>
      <c r="K13" s="22" t="n"/>
      <c r="L13" s="28" t="inlineStr">
        <is>
          <t>По запросу</t>
        </is>
      </c>
      <c r="M13" s="8" t="n"/>
      <c r="N13" s="8" t="n"/>
      <c r="O13" s="22" t="n"/>
      <c r="P13" s="8" t="n"/>
    </row>
    <row r="14">
      <c r="A14" s="22" t="n"/>
      <c r="B14" s="22" t="n"/>
      <c r="C14" s="22" t="n"/>
      <c r="D14" s="8" t="inlineStr">
        <is>
          <t xml:space="preserve">   Монтаж вывески на высоте до 4 м, с вышкой</t>
        </is>
      </c>
      <c r="E14" s="22" t="inlineStr">
        <is>
          <t>компл.</t>
        </is>
      </c>
      <c r="F14" s="23" t="n">
        <v>1</v>
      </c>
      <c r="G14" s="28" t="inlineStr">
        <is>
          <t>По запросу</t>
        </is>
      </c>
      <c r="H14" s="22" t="n"/>
      <c r="I14" s="29" t="n"/>
      <c r="J14" s="28" t="inlineStr">
        <is>
          <t>По запросу</t>
        </is>
      </c>
      <c r="K14" s="22" t="n"/>
      <c r="L14" s="28" t="inlineStr">
        <is>
          <t>По запросу</t>
        </is>
      </c>
      <c r="M14" s="8" t="n"/>
      <c r="N14" s="8" t="n"/>
      <c r="O14" s="22" t="n"/>
      <c r="P14" s="8" t="n"/>
    </row>
    <row r="15">
      <c r="A15" s="19" t="n"/>
      <c r="B15" s="19" t="n"/>
      <c r="C15" s="19" t="n"/>
      <c r="D15" s="20" t="inlineStr">
        <is>
          <t>(3) Витрина 3 × 2,5 м: пленка + 2 фигуры ПВХ</t>
        </is>
      </c>
      <c r="E15" s="9" t="inlineStr">
        <is>
          <t>итого</t>
        </is>
      </c>
      <c r="F15" s="19" t="n"/>
      <c r="G15" s="19" t="n"/>
      <c r="H15" s="21">
        <f>SUM(H16:H18)</f>
        <v/>
      </c>
      <c r="I15" s="19" t="n"/>
      <c r="J15" s="21">
        <f>SUM(J16:J18)</f>
        <v/>
      </c>
      <c r="K15" s="21">
        <f>SUM(K16:K18)</f>
        <v/>
      </c>
      <c r="L15" s="21">
        <f>SUM(L16:L18)</f>
        <v/>
      </c>
      <c r="M15" s="19" t="inlineStr">
        <is>
          <t>5 р.д. с монтажом</t>
        </is>
      </c>
      <c r="N15" s="19" t="n"/>
      <c r="O15" s="19" t="n"/>
      <c r="P15" s="19" t="n"/>
    </row>
    <row r="16">
      <c r="A16" s="22" t="n"/>
      <c r="B16" s="22" t="n"/>
      <c r="C16" s="22" t="n"/>
      <c r="D16" s="8" t="inlineStr">
        <is>
          <t xml:space="preserve">   Пленка с полноцветной печатью и ламинацией, оклейка витрины</t>
        </is>
      </c>
      <c r="E16" s="22" t="inlineStr">
        <is>
          <t>м²</t>
        </is>
      </c>
      <c r="F16" s="23" t="n">
        <v>7.5</v>
      </c>
      <c r="G16" s="24">
        <f>Прайс!E24</f>
        <v/>
      </c>
      <c r="H16" s="25">
        <f>ROUND(F16*G16,0)</f>
        <v/>
      </c>
      <c r="I16" s="26" t="n">
        <v>0</v>
      </c>
      <c r="J16" s="27">
        <f>ROUND(H16*(1-I16),0)</f>
        <v/>
      </c>
      <c r="K16" s="25">
        <f>ROUND(J16*Прайс!$B$5,0)</f>
        <v/>
      </c>
      <c r="L16" s="27">
        <f>J16+K16</f>
        <v/>
      </c>
      <c r="M16" s="8" t="n"/>
      <c r="N16" s="8" t="n"/>
      <c r="O16" s="22" t="n"/>
      <c r="P16" s="8" t="inlineStr">
        <is>
          <t>3 × 2,5 м = 7,5 м², с оклейкой</t>
        </is>
      </c>
    </row>
    <row r="17">
      <c r="A17" s="22" t="n"/>
      <c r="B17" s="22" t="n"/>
      <c r="C17" s="22" t="n"/>
      <c r="D17" s="8" t="inlineStr">
        <is>
          <t xml:space="preserve">   Напольная фигура ПВХ 5 мм до 1,8 м, полноцветная печать, опора</t>
        </is>
      </c>
      <c r="E17" s="22" t="inlineStr">
        <is>
          <t>шт.</t>
        </is>
      </c>
      <c r="F17" s="23" t="n">
        <v>2</v>
      </c>
      <c r="G17" s="24">
        <f>Прайс!E25</f>
        <v/>
      </c>
      <c r="H17" s="25">
        <f>ROUND(F17*G17,0)</f>
        <v/>
      </c>
      <c r="I17" s="26" t="n">
        <v>0</v>
      </c>
      <c r="J17" s="27">
        <f>ROUND(H17*(1-I17),0)</f>
        <v/>
      </c>
      <c r="K17" s="25">
        <f>ROUND(J17*Прайс!$B$5,0)</f>
        <v/>
      </c>
      <c r="L17" s="27">
        <f>J17+K17</f>
        <v/>
      </c>
      <c r="M17" s="8" t="n"/>
      <c r="N17" s="8" t="n"/>
      <c r="O17" s="22" t="n"/>
      <c r="P17" s="8" t="n"/>
    </row>
    <row r="18">
      <c r="A18" s="22" t="n"/>
      <c r="B18" s="22" t="n"/>
      <c r="C18" s="22" t="n"/>
      <c r="D18" s="8" t="inlineStr">
        <is>
          <t xml:space="preserve">   Доставка конструкций на объект по Москве</t>
        </is>
      </c>
      <c r="E18" s="22" t="inlineStr">
        <is>
          <t>рейс</t>
        </is>
      </c>
      <c r="F18" s="23" t="n">
        <v>1</v>
      </c>
      <c r="G18" s="24">
        <f>Прайс!E20</f>
        <v/>
      </c>
      <c r="H18" s="25">
        <f>ROUND(F18*G18,0)</f>
        <v/>
      </c>
      <c r="I18" s="26" t="n">
        <v>0</v>
      </c>
      <c r="J18" s="27">
        <f>ROUND(H18*(1-I18),0)</f>
        <v/>
      </c>
      <c r="K18" s="25">
        <f>ROUND(J18*Прайс!$B$5,0)</f>
        <v/>
      </c>
      <c r="L18" s="27">
        <f>J18+K18</f>
        <v/>
      </c>
      <c r="M18" s="8" t="n"/>
      <c r="N18" s="8" t="n"/>
      <c r="O18" s="22" t="n"/>
      <c r="P18" s="8" t="inlineStr">
        <is>
          <t>фигуры, до Автозаводской, 18</t>
        </is>
      </c>
    </row>
    <row r="19">
      <c r="A19" s="10" t="n">
        <v>2</v>
      </c>
      <c r="B19" s="30" t="inlineStr">
        <is>
          <t>Наружная реклама</t>
        </is>
      </c>
      <c r="C19" s="30" t="inlineStr">
        <is>
          <t>Времена Года, Венеция</t>
        </is>
      </c>
      <c r="D19" s="30" t="inlineStr">
        <is>
          <t>Не оказываем</t>
        </is>
      </c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30" t="inlineStr">
        <is>
          <t>Направление не входит в наш профиль. Расчет не предоставляем.</t>
        </is>
      </c>
    </row>
    <row r="20">
      <c r="A20" s="15" t="n">
        <v>3</v>
      </c>
      <c r="B20" s="16" t="inlineStr">
        <is>
          <t>Монтажные и демонтажные работы</t>
        </is>
      </c>
      <c r="C20" s="17" t="inlineStr">
        <is>
          <t>ЦДМ, Ривьера</t>
        </is>
      </c>
      <c r="D20" s="18" t="inlineStr">
        <is>
          <t>Позиция ТЗ</t>
        </is>
      </c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>
        <f>"100% по факту, оплата в течение "&amp;Прайс!$B$8&amp;" р.д. после акта, без аванса"</f>
        <v/>
      </c>
      <c r="O20" s="17">
        <f>Прайс!$B$9&amp;" мес."</f>
        <v/>
      </c>
      <c r="P20" s="17" t="inlineStr">
        <is>
          <t>Ставка ночной смены уже ночная, доплата 30% к ней не применяется. Срочный выезд в течение 24 ч: плюс 25% к стоимости смен. Ручной инструмент входит в ставку, вышки по прайсу. Работаем по регламенту ТЦ: пропуска, ночной режим, вывоз мусора.</t>
        </is>
      </c>
    </row>
    <row r="21">
      <c r="A21" s="19" t="n"/>
      <c r="B21" s="19" t="n"/>
      <c r="C21" s="19" t="n"/>
      <c r="D21" s="20" t="inlineStr">
        <is>
          <t>Новогодний декор в атриуме: 4 монтажника, 2 ночные смены монтажа + 1 ночная смена демонтажа</t>
        </is>
      </c>
      <c r="E21" s="9" t="inlineStr">
        <is>
          <t>итого</t>
        </is>
      </c>
      <c r="F21" s="19" t="n"/>
      <c r="G21" s="19" t="n"/>
      <c r="H21" s="21">
        <f>SUM(H22:H25)</f>
        <v/>
      </c>
      <c r="I21" s="19" t="n"/>
      <c r="J21" s="21">
        <f>SUM(J22:J25)</f>
        <v/>
      </c>
      <c r="K21" s="21">
        <f>SUM(K22:K25)</f>
        <v/>
      </c>
      <c r="L21" s="21">
        <f>SUM(L22:L25)</f>
        <v/>
      </c>
      <c r="M21" s="19" t="inlineStr">
        <is>
          <t>Выход по графику ТЦ, бригада до 12 человек на смену</t>
        </is>
      </c>
      <c r="N21" s="19" t="n"/>
      <c r="O21" s="19" t="n"/>
      <c r="P21" s="19" t="n"/>
    </row>
    <row r="22">
      <c r="A22" s="22" t="n"/>
      <c r="B22" s="22" t="n"/>
      <c r="C22" s="22" t="n"/>
      <c r="D22" s="8" t="inlineStr">
        <is>
          <t xml:space="preserve">   Монтажник, смена 8 ч, ночная</t>
        </is>
      </c>
      <c r="E22" s="22" t="inlineStr">
        <is>
          <t>чел.-смена</t>
        </is>
      </c>
      <c r="F22" s="23" t="n">
        <v>12</v>
      </c>
      <c r="G22" s="24">
        <f>Прайс!E28</f>
        <v/>
      </c>
      <c r="H22" s="25">
        <f>ROUND(F22*G22,0)</f>
        <v/>
      </c>
      <c r="I22" s="26" t="n">
        <v>0</v>
      </c>
      <c r="J22" s="27">
        <f>ROUND(H22*(1-I22),0)</f>
        <v/>
      </c>
      <c r="K22" s="25">
        <f>ROUND(J22*Прайс!$B$5,0)</f>
        <v/>
      </c>
      <c r="L22" s="27">
        <f>J22+K22</f>
        <v/>
      </c>
      <c r="M22" s="8" t="n"/>
      <c r="N22" s="8" t="n"/>
      <c r="O22" s="22" t="n"/>
      <c r="P22" s="8" t="inlineStr">
        <is>
          <t>4 чел. × 3 смены</t>
        </is>
      </c>
    </row>
    <row r="23">
      <c r="A23" s="22" t="n"/>
      <c r="B23" s="22" t="n"/>
      <c r="C23" s="22" t="n"/>
      <c r="D23" s="8" t="inlineStr">
        <is>
          <t xml:space="preserve">   Грузовой автомобиль до 3 т, рейс по Москве</t>
        </is>
      </c>
      <c r="E23" s="22" t="inlineStr">
        <is>
          <t>рейс</t>
        </is>
      </c>
      <c r="F23" s="23" t="n">
        <v>2</v>
      </c>
      <c r="G23" s="24">
        <f>Прайс!E29</f>
        <v/>
      </c>
      <c r="H23" s="25">
        <f>ROUND(F23*G23,0)</f>
        <v/>
      </c>
      <c r="I23" s="26" t="n">
        <v>0</v>
      </c>
      <c r="J23" s="27">
        <f>ROUND(H23*(1-I23),0)</f>
        <v/>
      </c>
      <c r="K23" s="25">
        <f>ROUND(J23*Прайс!$B$5,0)</f>
        <v/>
      </c>
      <c r="L23" s="27">
        <f>J23+K23</f>
        <v/>
      </c>
      <c r="M23" s="8" t="n"/>
      <c r="N23" s="8" t="n"/>
      <c r="O23" s="22" t="n"/>
      <c r="P23" s="8" t="inlineStr">
        <is>
          <t>завоз и вывоз</t>
        </is>
      </c>
    </row>
    <row r="24">
      <c r="A24" s="22" t="n"/>
      <c r="B24" s="22" t="n"/>
      <c r="C24" s="22" t="n"/>
      <c r="D24" s="8" t="inlineStr">
        <is>
          <t xml:space="preserve">   Вывоз упаковки и мусора</t>
        </is>
      </c>
      <c r="E24" s="22" t="inlineStr">
        <is>
          <t>рейс</t>
        </is>
      </c>
      <c r="F24" s="23" t="n">
        <v>1</v>
      </c>
      <c r="G24" s="24">
        <f>Прайс!E30</f>
        <v/>
      </c>
      <c r="H24" s="25">
        <f>ROUND(F24*G24,0)</f>
        <v/>
      </c>
      <c r="I24" s="26" t="n">
        <v>0</v>
      </c>
      <c r="J24" s="27">
        <f>ROUND(H24*(1-I24),0)</f>
        <v/>
      </c>
      <c r="K24" s="25">
        <f>ROUND(J24*Прайс!$B$5,0)</f>
        <v/>
      </c>
      <c r="L24" s="27">
        <f>J24+K24</f>
        <v/>
      </c>
      <c r="M24" s="8" t="n"/>
      <c r="N24" s="8" t="n"/>
      <c r="O24" s="22" t="n"/>
      <c r="P24" s="8" t="n"/>
    </row>
    <row r="25">
      <c r="A25" s="22" t="n"/>
      <c r="B25" s="22" t="n"/>
      <c r="C25" s="22" t="n"/>
      <c r="D25" s="8" t="inlineStr">
        <is>
          <t xml:space="preserve">   Аренда вышки-туры до 6 м с доставкой</t>
        </is>
      </c>
      <c r="E25" s="22" t="inlineStr">
        <is>
          <t>сутки</t>
        </is>
      </c>
      <c r="F25" s="23" t="n">
        <v>3</v>
      </c>
      <c r="G25" s="24">
        <f>Прайс!E31</f>
        <v/>
      </c>
      <c r="H25" s="25">
        <f>ROUND(F25*G25,0)</f>
        <v/>
      </c>
      <c r="I25" s="26" t="n">
        <v>0</v>
      </c>
      <c r="J25" s="27">
        <f>ROUND(H25*(1-I25),0)</f>
        <v/>
      </c>
      <c r="K25" s="25">
        <f>ROUND(J25*Прайс!$B$5,0)</f>
        <v/>
      </c>
      <c r="L25" s="27">
        <f>J25+K25</f>
        <v/>
      </c>
      <c r="M25" s="8" t="n"/>
      <c r="N25" s="8" t="n"/>
      <c r="O25" s="22" t="n"/>
      <c r="P25" s="8" t="inlineStr">
        <is>
          <t>на каждую ночь</t>
        </is>
      </c>
    </row>
    <row r="26">
      <c r="A26" s="10" t="n">
        <v>4</v>
      </c>
      <c r="B26" s="30" t="inlineStr">
        <is>
          <t>Альпинисты, высотные работы</t>
        </is>
      </c>
      <c r="C26" s="30" t="inlineStr">
        <is>
          <t>Времена Года, ЦДМ</t>
        </is>
      </c>
      <c r="D26" s="30" t="inlineStr">
        <is>
          <t>Не оказываем</t>
        </is>
      </c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30" t="inlineStr">
        <is>
          <t>Направление не входит в наш профиль. Расчет не предоставляем.</t>
        </is>
      </c>
    </row>
    <row r="27">
      <c r="A27" s="15" t="n">
        <v>5</v>
      </c>
      <c r="B27" s="16" t="inlineStr">
        <is>
          <t>Пластиковые карты</t>
        </is>
      </c>
      <c r="C27" s="17" t="inlineStr">
        <is>
          <t>Венеция</t>
        </is>
      </c>
      <c r="D27" s="18" t="inlineStr">
        <is>
          <t>Позиция ТЗ</t>
        </is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>
        <f>"Аванс "&amp;TEXT(Прайс!$B$7,"0%")&amp;", остаток "&amp;TEXT(1-Прайс!$B$7,"0%")&amp;" после акта"</f>
        <v/>
      </c>
      <c r="O27" s="17">
        <f>Прайс!$B$10&amp;" мес."</f>
        <v/>
      </c>
      <c r="P27" s="17" t="inlineStr">
        <is>
          <t>Минимальный тираж 500 шт. Нумерация и кодировка полосы по вашему списку, проверяем на вашем считывателе до тиража. Дозаказ на тех же условиях, клише храним 12 месяцев.</t>
        </is>
      </c>
    </row>
    <row r="28">
      <c r="A28" s="19" t="n"/>
      <c r="B28" s="19" t="n"/>
      <c r="C28" s="19" t="n"/>
      <c r="D28" s="20" t="inlineStr">
        <is>
          <t>Подарочные карты, тираж 1 000 шт.</t>
        </is>
      </c>
      <c r="E28" s="9" t="inlineStr">
        <is>
          <t>итого</t>
        </is>
      </c>
      <c r="F28" s="19" t="n"/>
      <c r="G28" s="19" t="n"/>
      <c r="H28" s="21">
        <f>SUM(H29:H31)</f>
        <v/>
      </c>
      <c r="I28" s="19" t="n"/>
      <c r="J28" s="21">
        <f>SUM(J29:J31)</f>
        <v/>
      </c>
      <c r="K28" s="21">
        <f>SUM(K29:K31)</f>
        <v/>
      </c>
      <c r="L28" s="21">
        <f>SUM(L29:L31)</f>
        <v/>
      </c>
      <c r="M28" s="19" t="inlineStr">
        <is>
          <t>10 р.д. после утверждения образца, образец 5 р.д.</t>
        </is>
      </c>
      <c r="N28" s="19" t="n"/>
      <c r="O28" s="19" t="n"/>
      <c r="P28" s="19" t="n"/>
    </row>
    <row r="29">
      <c r="A29" s="22" t="n"/>
      <c r="B29" s="22" t="n"/>
      <c r="C29" s="22" t="n"/>
      <c r="D29" s="8" t="inlineStr">
        <is>
          <t xml:space="preserve">   Карта ПВХ 0,76 мм CR80, печать 4+4, матовая ламинация, фольга, HiCo, лазерная нумерация</t>
        </is>
      </c>
      <c r="E29" s="22" t="inlineStr">
        <is>
          <t>шт.</t>
        </is>
      </c>
      <c r="F29" s="23" t="n">
        <v>1000</v>
      </c>
      <c r="G29" s="24">
        <f>Прайс!E32</f>
        <v/>
      </c>
      <c r="H29" s="25">
        <f>ROUND(F29*G29,0)</f>
        <v/>
      </c>
      <c r="I29" s="26" t="n">
        <v>0</v>
      </c>
      <c r="J29" s="27">
        <f>ROUND(H29*(1-I29),0)</f>
        <v/>
      </c>
      <c r="K29" s="25">
        <f>ROUND(J29*Прайс!$B$5,0)</f>
        <v/>
      </c>
      <c r="L29" s="27">
        <f>J29+K29</f>
        <v/>
      </c>
      <c r="M29" s="8" t="n"/>
      <c r="N29" s="8" t="n"/>
      <c r="O29" s="22" t="n"/>
      <c r="P29" s="8" t="n"/>
    </row>
    <row r="30">
      <c r="A30" s="22" t="n"/>
      <c r="B30" s="22" t="n"/>
      <c r="C30" s="22" t="n"/>
      <c r="D30" s="8" t="inlineStr">
        <is>
          <t xml:space="preserve">   Клише для тиснения фольгой, подготовка к печати</t>
        </is>
      </c>
      <c r="E30" s="22" t="inlineStr">
        <is>
          <t>компл.</t>
        </is>
      </c>
      <c r="F30" s="23" t="n">
        <v>1</v>
      </c>
      <c r="G30" s="24">
        <f>Прайс!E33</f>
        <v/>
      </c>
      <c r="H30" s="25">
        <f>ROUND(F30*G30,0)</f>
        <v/>
      </c>
      <c r="I30" s="26" t="n">
        <v>0</v>
      </c>
      <c r="J30" s="27">
        <f>ROUND(H30*(1-I30),0)</f>
        <v/>
      </c>
      <c r="K30" s="25">
        <f>ROUND(J30*Прайс!$B$5,0)</f>
        <v/>
      </c>
      <c r="L30" s="27">
        <f>J30+K30</f>
        <v/>
      </c>
      <c r="M30" s="8" t="n"/>
      <c r="N30" s="8" t="n"/>
      <c r="O30" s="22" t="n"/>
      <c r="P30" s="8" t="n"/>
    </row>
    <row r="31">
      <c r="A31" s="22" t="n"/>
      <c r="B31" s="22" t="n"/>
      <c r="C31" s="22" t="n"/>
      <c r="D31" s="8" t="inlineStr">
        <is>
          <t xml:space="preserve">   Доставка тиража по Москве</t>
        </is>
      </c>
      <c r="E31" s="22" t="inlineStr">
        <is>
          <t>рейс</t>
        </is>
      </c>
      <c r="F31" s="23" t="n">
        <v>1</v>
      </c>
      <c r="G31" s="24">
        <f>Прайс!E35</f>
        <v/>
      </c>
      <c r="H31" s="25">
        <f>ROUND(F31*G31,0)</f>
        <v/>
      </c>
      <c r="I31" s="26" t="n">
        <v>0</v>
      </c>
      <c r="J31" s="27">
        <f>ROUND(H31*(1-I31),0)</f>
        <v/>
      </c>
      <c r="K31" s="25">
        <f>ROUND(J31*Прайс!$B$5,0)</f>
        <v/>
      </c>
      <c r="L31" s="27">
        <f>J31+K31</f>
        <v/>
      </c>
      <c r="M31" s="8" t="n"/>
      <c r="N31" s="8" t="n"/>
      <c r="O31" s="22" t="n"/>
      <c r="P31" s="8" t="inlineStr">
        <is>
          <t>до Автозаводской, 18</t>
        </is>
      </c>
    </row>
    <row r="32">
      <c r="A32" s="19" t="n"/>
      <c r="B32" s="19" t="n"/>
      <c r="C32" s="19" t="n"/>
      <c r="D32" s="20" t="inlineStr">
        <is>
          <t>Пробный образец</t>
        </is>
      </c>
      <c r="E32" s="19" t="inlineStr">
        <is>
          <t>компл.</t>
        </is>
      </c>
      <c r="F32" s="31" t="n">
        <v>1</v>
      </c>
      <c r="G32" s="32">
        <f>Прайс!E34</f>
        <v/>
      </c>
      <c r="H32" s="33">
        <f>ROUND(F32*G32,0)</f>
        <v/>
      </c>
      <c r="I32" s="34" t="n">
        <v>0</v>
      </c>
      <c r="J32" s="35">
        <f>ROUND(H32*(1-I32),0)</f>
        <v/>
      </c>
      <c r="K32" s="33">
        <f>ROUND(J32*Прайс!$B$5,0)</f>
        <v/>
      </c>
      <c r="L32" s="35">
        <f>J32+K32</f>
        <v/>
      </c>
      <c r="M32" s="19" t="inlineStr">
        <is>
          <t>5 р.д.</t>
        </is>
      </c>
      <c r="N32" s="19" t="n"/>
      <c r="O32" s="19" t="n"/>
      <c r="P32" s="19" t="n"/>
    </row>
    <row r="33">
      <c r="A33" s="15" t="n">
        <v>6</v>
      </c>
      <c r="B33" s="16" t="inlineStr">
        <is>
          <t>Брендированные вешалки</t>
        </is>
      </c>
      <c r="C33" s="17" t="inlineStr">
        <is>
          <t>Венеция</t>
        </is>
      </c>
      <c r="D33" s="18" t="inlineStr">
        <is>
          <t>Позиция ТЗ</t>
        </is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>
        <f>"Аванс "&amp;TEXT(Прайс!$B$7,"0%")&amp;", остаток "&amp;TEXT(1-Прайс!$B$7,"0%")&amp;" после акта"</f>
        <v/>
      </c>
      <c r="O33" s="17">
        <f>Прайс!$B$10&amp;" мес."</f>
        <v/>
      </c>
      <c r="P33" s="17" t="inlineStr">
        <is>
          <t>Тиражи 200 и 500: флок ближайшего цвета из наличия. Тираж 1 000: флок по Pantone брендбука. Логотип на гладкой вставке или тиснением по рекомендации производителя, проверяем на образце. Групповая упаковка с защитой крючков. Брак меняем за свой счет.</t>
        </is>
      </c>
    </row>
    <row r="34">
      <c r="A34" s="19" t="n"/>
      <c r="B34" s="19" t="n"/>
      <c r="C34" s="19" t="n"/>
      <c r="D34" s="20" t="inlineStr">
        <is>
          <t>Тираж 200 шт.</t>
        </is>
      </c>
      <c r="E34" s="9" t="inlineStr">
        <is>
          <t>итого</t>
        </is>
      </c>
      <c r="F34" s="19" t="n"/>
      <c r="G34" s="19" t="n"/>
      <c r="H34" s="21">
        <f>SUM(H35:H36)</f>
        <v/>
      </c>
      <c r="I34" s="19" t="n"/>
      <c r="J34" s="21">
        <f>SUM(J35:J36)</f>
        <v/>
      </c>
      <c r="K34" s="21">
        <f>SUM(K35:K36)</f>
        <v/>
      </c>
      <c r="L34" s="21">
        <f>SUM(L35:L36)</f>
        <v/>
      </c>
      <c r="M34" s="19" t="inlineStr">
        <is>
          <t>15 р.д. после утверждения образца</t>
        </is>
      </c>
      <c r="N34" s="19" t="n"/>
      <c r="O34" s="19" t="n"/>
      <c r="P34" s="19" t="n"/>
    </row>
    <row r="35">
      <c r="A35" s="22" t="n"/>
      <c r="B35" s="22" t="n"/>
      <c r="C35" s="22" t="n"/>
      <c r="D35" s="8" t="inlineStr">
        <is>
          <t xml:space="preserve">   Вешалка флокированная с перекладиной, поворотный крючок, логотип 1 цвет, тираж 200</t>
        </is>
      </c>
      <c r="E35" s="22" t="inlineStr">
        <is>
          <t>шт.</t>
        </is>
      </c>
      <c r="F35" s="23" t="n">
        <v>200</v>
      </c>
      <c r="G35" s="24">
        <f>Прайс!E36</f>
        <v/>
      </c>
      <c r="H35" s="25">
        <f>ROUND(F35*G35,0)</f>
        <v/>
      </c>
      <c r="I35" s="26" t="n">
        <v>0</v>
      </c>
      <c r="J35" s="27">
        <f>ROUND(H35*(1-I35),0)</f>
        <v/>
      </c>
      <c r="K35" s="25">
        <f>ROUND(J35*Прайс!$B$5,0)</f>
        <v/>
      </c>
      <c r="L35" s="27">
        <f>J35+K35</f>
        <v/>
      </c>
      <c r="M35" s="8" t="n"/>
      <c r="N35" s="8" t="n"/>
      <c r="O35" s="22" t="n"/>
      <c r="P35" s="8" t="n"/>
    </row>
    <row r="36">
      <c r="A36" s="22" t="n"/>
      <c r="B36" s="22" t="n"/>
      <c r="C36" s="22" t="n"/>
      <c r="D36" s="8" t="inlineStr">
        <is>
          <t xml:space="preserve">   Доставка тиража по Москве</t>
        </is>
      </c>
      <c r="E36" s="22" t="inlineStr">
        <is>
          <t>рейс</t>
        </is>
      </c>
      <c r="F36" s="23" t="n">
        <v>1</v>
      </c>
      <c r="G36" s="24">
        <f>Прайс!E40</f>
        <v/>
      </c>
      <c r="H36" s="25">
        <f>ROUND(F36*G36,0)</f>
        <v/>
      </c>
      <c r="I36" s="26" t="n">
        <v>0</v>
      </c>
      <c r="J36" s="27">
        <f>ROUND(H36*(1-I36),0)</f>
        <v/>
      </c>
      <c r="K36" s="25">
        <f>ROUND(J36*Прайс!$B$5,0)</f>
        <v/>
      </c>
      <c r="L36" s="27">
        <f>J36+K36</f>
        <v/>
      </c>
      <c r="M36" s="8" t="n"/>
      <c r="N36" s="8" t="n"/>
      <c r="O36" s="22" t="n"/>
      <c r="P36" s="8" t="inlineStr">
        <is>
          <t>до Автозаводской, 18</t>
        </is>
      </c>
    </row>
    <row r="37">
      <c r="A37" s="19" t="n"/>
      <c r="B37" s="19" t="n"/>
      <c r="C37" s="19" t="n"/>
      <c r="D37" s="20" t="inlineStr">
        <is>
          <t>Тираж 500 шт.</t>
        </is>
      </c>
      <c r="E37" s="9" t="inlineStr">
        <is>
          <t>итого</t>
        </is>
      </c>
      <c r="F37" s="19" t="n"/>
      <c r="G37" s="19" t="n"/>
      <c r="H37" s="21">
        <f>SUM(H38:H39)</f>
        <v/>
      </c>
      <c r="I37" s="19" t="n"/>
      <c r="J37" s="21">
        <f>SUM(J38:J39)</f>
        <v/>
      </c>
      <c r="K37" s="21">
        <f>SUM(K38:K39)</f>
        <v/>
      </c>
      <c r="L37" s="21">
        <f>SUM(L38:L39)</f>
        <v/>
      </c>
      <c r="M37" s="19" t="inlineStr">
        <is>
          <t>15 р.д. после утверждения образца</t>
        </is>
      </c>
      <c r="N37" s="19" t="n"/>
      <c r="O37" s="19" t="n"/>
      <c r="P37" s="19" t="n"/>
    </row>
    <row r="38">
      <c r="A38" s="22" t="n"/>
      <c r="B38" s="22" t="n"/>
      <c r="C38" s="22" t="n"/>
      <c r="D38" s="8" t="inlineStr">
        <is>
          <t xml:space="preserve">   Вешалка флокированная с перекладиной, поворотный крючок, логотип 1 цвет, тираж 500</t>
        </is>
      </c>
      <c r="E38" s="22" t="inlineStr">
        <is>
          <t>шт.</t>
        </is>
      </c>
      <c r="F38" s="23" t="n">
        <v>500</v>
      </c>
      <c r="G38" s="24">
        <f>Прайс!E37</f>
        <v/>
      </c>
      <c r="H38" s="25">
        <f>ROUND(F38*G38,0)</f>
        <v/>
      </c>
      <c r="I38" s="26" t="n">
        <v>0</v>
      </c>
      <c r="J38" s="27">
        <f>ROUND(H38*(1-I38),0)</f>
        <v/>
      </c>
      <c r="K38" s="25">
        <f>ROUND(J38*Прайс!$B$5,0)</f>
        <v/>
      </c>
      <c r="L38" s="27">
        <f>J38+K38</f>
        <v/>
      </c>
      <c r="M38" s="8" t="n"/>
      <c r="N38" s="8" t="n"/>
      <c r="O38" s="22" t="n"/>
      <c r="P38" s="8" t="n"/>
    </row>
    <row r="39">
      <c r="A39" s="22" t="n"/>
      <c r="B39" s="22" t="n"/>
      <c r="C39" s="22" t="n"/>
      <c r="D39" s="8" t="inlineStr">
        <is>
          <t xml:space="preserve">   Доставка тиража по Москве</t>
        </is>
      </c>
      <c r="E39" s="22" t="inlineStr">
        <is>
          <t>рейс</t>
        </is>
      </c>
      <c r="F39" s="23" t="n">
        <v>1</v>
      </c>
      <c r="G39" s="24">
        <f>Прайс!E40</f>
        <v/>
      </c>
      <c r="H39" s="25">
        <f>ROUND(F39*G39,0)</f>
        <v/>
      </c>
      <c r="I39" s="26" t="n">
        <v>0</v>
      </c>
      <c r="J39" s="27">
        <f>ROUND(H39*(1-I39),0)</f>
        <v/>
      </c>
      <c r="K39" s="25">
        <f>ROUND(J39*Прайс!$B$5,0)</f>
        <v/>
      </c>
      <c r="L39" s="27">
        <f>J39+K39</f>
        <v/>
      </c>
      <c r="M39" s="8" t="n"/>
      <c r="N39" s="8" t="n"/>
      <c r="O39" s="22" t="n"/>
      <c r="P39" s="8" t="inlineStr">
        <is>
          <t>до Автозаводской, 18</t>
        </is>
      </c>
    </row>
    <row r="40">
      <c r="A40" s="19" t="n"/>
      <c r="B40" s="19" t="n"/>
      <c r="C40" s="19" t="n"/>
      <c r="D40" s="20" t="inlineStr">
        <is>
          <t>Тираж 1 000 шт.</t>
        </is>
      </c>
      <c r="E40" s="9" t="inlineStr">
        <is>
          <t>итого</t>
        </is>
      </c>
      <c r="F40" s="19" t="n"/>
      <c r="G40" s="19" t="n"/>
      <c r="H40" s="21">
        <f>SUM(H41:H42)</f>
        <v/>
      </c>
      <c r="I40" s="19" t="n"/>
      <c r="J40" s="21">
        <f>SUM(J41:J42)</f>
        <v/>
      </c>
      <c r="K40" s="21">
        <f>SUM(K41:K42)</f>
        <v/>
      </c>
      <c r="L40" s="21">
        <f>SUM(L41:L42)</f>
        <v/>
      </c>
      <c r="M40" s="19" t="inlineStr">
        <is>
          <t>30-40 р.д. после утверждения образца</t>
        </is>
      </c>
      <c r="N40" s="19" t="n"/>
      <c r="O40" s="19" t="n"/>
      <c r="P40" s="19" t="n"/>
    </row>
    <row r="41">
      <c r="A41" s="22" t="n"/>
      <c r="B41" s="22" t="n"/>
      <c r="C41" s="22" t="n"/>
      <c r="D41" s="8" t="inlineStr">
        <is>
          <t xml:space="preserve">   Вешалка флокированная с перекладиной, поворотный крючок, логотип 1 цвет, тираж 1000</t>
        </is>
      </c>
      <c r="E41" s="22" t="inlineStr">
        <is>
          <t>шт.</t>
        </is>
      </c>
      <c r="F41" s="23" t="n">
        <v>1000</v>
      </c>
      <c r="G41" s="24">
        <f>Прайс!E38</f>
        <v/>
      </c>
      <c r="H41" s="25">
        <f>ROUND(F41*G41,0)</f>
        <v/>
      </c>
      <c r="I41" s="26" t="n">
        <v>0</v>
      </c>
      <c r="J41" s="27">
        <f>ROUND(H41*(1-I41),0)</f>
        <v/>
      </c>
      <c r="K41" s="25">
        <f>ROUND(J41*Прайс!$B$5,0)</f>
        <v/>
      </c>
      <c r="L41" s="27">
        <f>J41+K41</f>
        <v/>
      </c>
      <c r="M41" s="8" t="n"/>
      <c r="N41" s="8" t="n"/>
      <c r="O41" s="22" t="n"/>
      <c r="P41" s="8" t="n"/>
    </row>
    <row r="42">
      <c r="A42" s="22" t="n"/>
      <c r="B42" s="22" t="n"/>
      <c r="C42" s="22" t="n"/>
      <c r="D42" s="8" t="inlineStr">
        <is>
          <t xml:space="preserve">   Доставка тиража по Москве</t>
        </is>
      </c>
      <c r="E42" s="22" t="inlineStr">
        <is>
          <t>рейс</t>
        </is>
      </c>
      <c r="F42" s="23" t="n">
        <v>1</v>
      </c>
      <c r="G42" s="24">
        <f>Прайс!E40</f>
        <v/>
      </c>
      <c r="H42" s="25">
        <f>ROUND(F42*G42,0)</f>
        <v/>
      </c>
      <c r="I42" s="26" t="n">
        <v>0</v>
      </c>
      <c r="J42" s="27">
        <f>ROUND(H42*(1-I42),0)</f>
        <v/>
      </c>
      <c r="K42" s="25">
        <f>ROUND(J42*Прайс!$B$5,0)</f>
        <v/>
      </c>
      <c r="L42" s="27">
        <f>J42+K42</f>
        <v/>
      </c>
      <c r="M42" s="8" t="n"/>
      <c r="N42" s="8" t="n"/>
      <c r="O42" s="22" t="n"/>
      <c r="P42" s="8" t="inlineStr">
        <is>
          <t>до Автозаводской, 18</t>
        </is>
      </c>
    </row>
    <row r="43">
      <c r="A43" s="19" t="n"/>
      <c r="B43" s="19" t="n"/>
      <c r="C43" s="19" t="n"/>
      <c r="D43" s="20" t="inlineStr">
        <is>
          <t>Образец с логотипом</t>
        </is>
      </c>
      <c r="E43" s="19" t="inlineStr">
        <is>
          <t>шт.</t>
        </is>
      </c>
      <c r="F43" s="31" t="n">
        <v>1</v>
      </c>
      <c r="G43" s="32">
        <f>Прайс!E39</f>
        <v/>
      </c>
      <c r="H43" s="33">
        <f>ROUND(F43*G43,0)</f>
        <v/>
      </c>
      <c r="I43" s="34" t="n">
        <v>0</v>
      </c>
      <c r="J43" s="35">
        <f>ROUND(H43*(1-I43),0)</f>
        <v/>
      </c>
      <c r="K43" s="33">
        <f>ROUND(J43*Прайс!$B$5,0)</f>
        <v/>
      </c>
      <c r="L43" s="35">
        <f>J43+K43</f>
        <v/>
      </c>
      <c r="M43" s="19" t="inlineStr">
        <is>
          <t>7 р.д.</t>
        </is>
      </c>
      <c r="N43" s="19" t="n"/>
      <c r="O43" s="19" t="n"/>
      <c r="P43" s="19" t="n"/>
    </row>
    <row r="44">
      <c r="A44" s="15" t="n">
        <v>7</v>
      </c>
      <c r="B44" s="16" t="inlineStr">
        <is>
          <t>Брендированные тишью</t>
        </is>
      </c>
      <c r="C44" s="17" t="inlineStr">
        <is>
          <t>Венеция</t>
        </is>
      </c>
      <c r="D44" s="18" t="inlineStr">
        <is>
          <t>Позиция ТЗ</t>
        </is>
      </c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>
        <f>"Аванс "&amp;TEXT(Прайс!$B$7,"0%")&amp;", остаток "&amp;TEXT(1-Прайс!$B$7,"0%")&amp;" после акта"</f>
        <v/>
      </c>
      <c r="O44" s="17">
        <f>Прайс!$B$10&amp;" мес."</f>
        <v/>
      </c>
      <c r="P44" s="17" t="inlineStr">
        <is>
          <t>Бумага с нейтральным pH, гладкая матовая, без глянца. Перед тиражом проверяем на образце, что краска не переносится на ткань. Листы без фальцовки, пачки по 250-500 листов в защитной упаковке. Минимальный тираж 5 000 листов на формат. Дозаказ на тех же условиях, клише храним 12 месяцев.</t>
        </is>
      </c>
    </row>
    <row r="45">
      <c r="A45" s="19" t="n"/>
      <c r="B45" s="19" t="n"/>
      <c r="C45" s="19" t="n"/>
      <c r="D45" s="20" t="inlineStr">
        <is>
          <t>Тираж 10 000 листов 50 × 70 см и 10 000 листов 70 × 100 см</t>
        </is>
      </c>
      <c r="E45" s="9" t="inlineStr">
        <is>
          <t>итого</t>
        </is>
      </c>
      <c r="F45" s="19" t="n"/>
      <c r="G45" s="19" t="n"/>
      <c r="H45" s="21">
        <f>SUM(H46:H49)</f>
        <v/>
      </c>
      <c r="I45" s="19" t="n"/>
      <c r="J45" s="21">
        <f>SUM(J46:J49)</f>
        <v/>
      </c>
      <c r="K45" s="21">
        <f>SUM(K46:K49)</f>
        <v/>
      </c>
      <c r="L45" s="21">
        <f>SUM(L46:L49)</f>
        <v/>
      </c>
      <c r="M45" s="19" t="inlineStr">
        <is>
          <t>20 р.д. после утверждения образца</t>
        </is>
      </c>
      <c r="N45" s="19" t="n"/>
      <c r="O45" s="19" t="n"/>
      <c r="P45" s="19" t="n"/>
    </row>
    <row r="46">
      <c r="A46" s="22" t="n"/>
      <c r="B46" s="22" t="n"/>
      <c r="C46" s="22" t="n"/>
      <c r="D46" s="8" t="inlineStr">
        <is>
          <t xml:space="preserve">   Тишью 28 г/м² в цвет брендбука, 50 × 70 см, флексопечать паттерна 1 цвет Pantone</t>
        </is>
      </c>
      <c r="E46" s="22" t="inlineStr">
        <is>
          <t>лист</t>
        </is>
      </c>
      <c r="F46" s="23" t="n">
        <v>10000</v>
      </c>
      <c r="G46" s="24">
        <f>Прайс!E41</f>
        <v/>
      </c>
      <c r="H46" s="25">
        <f>ROUND(F46*G46,0)</f>
        <v/>
      </c>
      <c r="I46" s="26" t="n">
        <v>0</v>
      </c>
      <c r="J46" s="27">
        <f>ROUND(H46*(1-I46),0)</f>
        <v/>
      </c>
      <c r="K46" s="25">
        <f>ROUND(J46*Прайс!$B$5,0)</f>
        <v/>
      </c>
      <c r="L46" s="27">
        <f>J46+K46</f>
        <v/>
      </c>
      <c r="M46" s="8" t="n"/>
      <c r="N46" s="8" t="n"/>
      <c r="O46" s="22" t="n"/>
      <c r="P46" s="8" t="inlineStr">
        <is>
          <t>50 × 70 см</t>
        </is>
      </c>
    </row>
    <row r="47">
      <c r="A47" s="22" t="n"/>
      <c r="B47" s="22" t="n"/>
      <c r="C47" s="22" t="n"/>
      <c r="D47" s="8" t="inlineStr">
        <is>
          <t xml:space="preserve">   Тишью 28 г/м² в цвет брендбука, 70 × 100 см, флексопечать паттерна 1 цвет Pantone</t>
        </is>
      </c>
      <c r="E47" s="22" t="inlineStr">
        <is>
          <t>лист</t>
        </is>
      </c>
      <c r="F47" s="23" t="n">
        <v>10000</v>
      </c>
      <c r="G47" s="24">
        <f>Прайс!E42</f>
        <v/>
      </c>
      <c r="H47" s="25">
        <f>ROUND(F47*G47,0)</f>
        <v/>
      </c>
      <c r="I47" s="26" t="n">
        <v>0</v>
      </c>
      <c r="J47" s="27">
        <f>ROUND(H47*(1-I47),0)</f>
        <v/>
      </c>
      <c r="K47" s="25">
        <f>ROUND(J47*Прайс!$B$5,0)</f>
        <v/>
      </c>
      <c r="L47" s="27">
        <f>J47+K47</f>
        <v/>
      </c>
      <c r="M47" s="8" t="n"/>
      <c r="N47" s="8" t="n"/>
      <c r="O47" s="22" t="n"/>
      <c r="P47" s="8" t="inlineStr">
        <is>
          <t>70 × 100 см</t>
        </is>
      </c>
    </row>
    <row r="48">
      <c r="A48" s="22" t="n"/>
      <c r="B48" s="22" t="n"/>
      <c r="C48" s="22" t="n"/>
      <c r="D48" s="8" t="inlineStr">
        <is>
          <t xml:space="preserve">   Клише для флексопечати</t>
        </is>
      </c>
      <c r="E48" s="22" t="inlineStr">
        <is>
          <t>формат</t>
        </is>
      </c>
      <c r="F48" s="23" t="n">
        <v>2</v>
      </c>
      <c r="G48" s="24">
        <f>Прайс!E43</f>
        <v/>
      </c>
      <c r="H48" s="25">
        <f>ROUND(F48*G48,0)</f>
        <v/>
      </c>
      <c r="I48" s="26" t="n">
        <v>0</v>
      </c>
      <c r="J48" s="27">
        <f>ROUND(H48*(1-I48),0)</f>
        <v/>
      </c>
      <c r="K48" s="25">
        <f>ROUND(J48*Прайс!$B$5,0)</f>
        <v/>
      </c>
      <c r="L48" s="27">
        <f>J48+K48</f>
        <v/>
      </c>
      <c r="M48" s="8" t="n"/>
      <c r="N48" s="8" t="n"/>
      <c r="O48" s="22" t="n"/>
      <c r="P48" s="8" t="inlineStr">
        <is>
          <t>по клише на формат</t>
        </is>
      </c>
    </row>
    <row r="49">
      <c r="A49" s="22" t="n"/>
      <c r="B49" s="22" t="n"/>
      <c r="C49" s="22" t="n"/>
      <c r="D49" s="8" t="inlineStr">
        <is>
          <t xml:space="preserve">   Доставка по Москве</t>
        </is>
      </c>
      <c r="E49" s="22" t="inlineStr">
        <is>
          <t>рейс</t>
        </is>
      </c>
      <c r="F49" s="23" t="n">
        <v>1</v>
      </c>
      <c r="G49" s="24">
        <f>Прайс!E45</f>
        <v/>
      </c>
      <c r="H49" s="25">
        <f>ROUND(F49*G49,0)</f>
        <v/>
      </c>
      <c r="I49" s="26" t="n">
        <v>0</v>
      </c>
      <c r="J49" s="27">
        <f>ROUND(H49*(1-I49),0)</f>
        <v/>
      </c>
      <c r="K49" s="25">
        <f>ROUND(J49*Прайс!$B$5,0)</f>
        <v/>
      </c>
      <c r="L49" s="27">
        <f>J49+K49</f>
        <v/>
      </c>
      <c r="M49" s="8" t="n"/>
      <c r="N49" s="8" t="n"/>
      <c r="O49" s="22" t="n"/>
      <c r="P49" s="8" t="inlineStr">
        <is>
          <t>до Автозаводской, 18</t>
        </is>
      </c>
    </row>
    <row r="50">
      <c r="A50" s="19" t="n"/>
      <c r="B50" s="19" t="n"/>
      <c r="C50" s="19" t="n"/>
      <c r="D50" s="20" t="inlineStr">
        <is>
          <t>Образцы с фирменной печатью</t>
        </is>
      </c>
      <c r="E50" s="19" t="inlineStr">
        <is>
          <t>формат</t>
        </is>
      </c>
      <c r="F50" s="31" t="n">
        <v>2</v>
      </c>
      <c r="G50" s="32">
        <f>Прайс!E44</f>
        <v/>
      </c>
      <c r="H50" s="33">
        <f>ROUND(F50*G50,0)</f>
        <v/>
      </c>
      <c r="I50" s="34" t="n">
        <v>0</v>
      </c>
      <c r="J50" s="35">
        <f>ROUND(H50*(1-I50),0)</f>
        <v/>
      </c>
      <c r="K50" s="33">
        <f>ROUND(J50*Прайс!$B$5,0)</f>
        <v/>
      </c>
      <c r="L50" s="35">
        <f>J50+K50</f>
        <v/>
      </c>
      <c r="M50" s="19" t="inlineStr">
        <is>
          <t>10 р.д.</t>
        </is>
      </c>
      <c r="N50" s="19" t="n"/>
      <c r="O50" s="19" t="n"/>
      <c r="P50" s="19" t="inlineStr">
        <is>
          <t>по образцу на формат</t>
        </is>
      </c>
    </row>
    <row r="51">
      <c r="A51" s="15" t="n">
        <v>8</v>
      </c>
      <c r="B51" s="16" t="inlineStr">
        <is>
          <t>Брендированные кофры</t>
        </is>
      </c>
      <c r="C51" s="17" t="inlineStr">
        <is>
          <t>Венеция</t>
        </is>
      </c>
      <c r="D51" s="18" t="inlineStr">
        <is>
          <t>Позиция ТЗ</t>
        </is>
      </c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>
        <f>"Аванс "&amp;TEXT(Прайс!$B$7,"0%")&amp;", остаток "&amp;TEXT(1-Прайс!$B$7,"0%")&amp;" после акта"</f>
        <v/>
      </c>
      <c r="O51" s="17">
        <f>Прайс!$B$10&amp;" мес."</f>
        <v/>
      </c>
      <c r="P51" s="17" t="inlineStr">
        <is>
          <t>Минимальный тираж 200 шт. Ткань с подтвержденным составом, перед тиражом проверяем перенос красителя на образце. Брендирование за единицу и печатная форма указаны отдельными строками. Брак меняем за свой счет.</t>
        </is>
      </c>
    </row>
    <row r="52">
      <c r="A52" s="19" t="n"/>
      <c r="B52" s="19" t="n"/>
      <c r="C52" s="19" t="n"/>
      <c r="D52" s="20" t="inlineStr">
        <is>
          <t>Тираж 200 шт.</t>
        </is>
      </c>
      <c r="E52" s="9" t="inlineStr">
        <is>
          <t>итого</t>
        </is>
      </c>
      <c r="F52" s="19" t="n"/>
      <c r="G52" s="19" t="n"/>
      <c r="H52" s="21">
        <f>SUM(H53:H56)</f>
        <v/>
      </c>
      <c r="I52" s="19" t="n"/>
      <c r="J52" s="21">
        <f>SUM(J53:J56)</f>
        <v/>
      </c>
      <c r="K52" s="21">
        <f>SUM(K53:K56)</f>
        <v/>
      </c>
      <c r="L52" s="21">
        <f>SUM(L53:L56)</f>
        <v/>
      </c>
      <c r="M52" s="19" t="inlineStr">
        <is>
          <t>20 р.д. после утверждения образца</t>
        </is>
      </c>
      <c r="N52" s="19" t="n"/>
      <c r="O52" s="19" t="n"/>
      <c r="P52" s="19" t="n"/>
    </row>
    <row r="53">
      <c r="A53" s="22" t="n"/>
      <c r="B53" s="22" t="n"/>
      <c r="C53" s="22" t="n"/>
      <c r="D53" s="8" t="inlineStr">
        <is>
          <t xml:space="preserve">   Кофр 150 × 60 × 10 см, саржа 100% хлопок 260 г/м², молния, ручки, кнопка, тираж 200</t>
        </is>
      </c>
      <c r="E53" s="22" t="inlineStr">
        <is>
          <t>шт.</t>
        </is>
      </c>
      <c r="F53" s="23" t="n">
        <v>200</v>
      </c>
      <c r="G53" s="24">
        <f>Прайс!E46</f>
        <v/>
      </c>
      <c r="H53" s="25">
        <f>ROUND(F53*G53,0)</f>
        <v/>
      </c>
      <c r="I53" s="26" t="n">
        <v>0</v>
      </c>
      <c r="J53" s="27">
        <f>ROUND(H53*(1-I53),0)</f>
        <v/>
      </c>
      <c r="K53" s="25">
        <f>ROUND(J53*Прайс!$B$5,0)</f>
        <v/>
      </c>
      <c r="L53" s="27">
        <f>J53+K53</f>
        <v/>
      </c>
      <c r="M53" s="8" t="n"/>
      <c r="N53" s="8" t="n"/>
      <c r="O53" s="22" t="n"/>
      <c r="P53" s="8" t="n"/>
    </row>
    <row r="54">
      <c r="A54" s="22" t="n"/>
      <c r="B54" s="22" t="n"/>
      <c r="C54" s="22" t="n"/>
      <c r="D54" s="8" t="inlineStr">
        <is>
          <t xml:space="preserve">   Шелкография логотипа 1 цвет, верхняя треть кофра</t>
        </is>
      </c>
      <c r="E54" s="22" t="inlineStr">
        <is>
          <t>шт.</t>
        </is>
      </c>
      <c r="F54" s="23" t="n">
        <v>200</v>
      </c>
      <c r="G54" s="24">
        <f>Прайс!E49</f>
        <v/>
      </c>
      <c r="H54" s="25">
        <f>ROUND(F54*G54,0)</f>
        <v/>
      </c>
      <c r="I54" s="26" t="n">
        <v>0</v>
      </c>
      <c r="J54" s="27">
        <f>ROUND(H54*(1-I54),0)</f>
        <v/>
      </c>
      <c r="K54" s="25">
        <f>ROUND(J54*Прайс!$B$5,0)</f>
        <v/>
      </c>
      <c r="L54" s="27">
        <f>J54+K54</f>
        <v/>
      </c>
      <c r="M54" s="8" t="n"/>
      <c r="N54" s="8" t="n"/>
      <c r="O54" s="22" t="n"/>
      <c r="P54" s="8" t="n"/>
    </row>
    <row r="55">
      <c r="A55" s="22" t="n"/>
      <c r="B55" s="22" t="n"/>
      <c r="C55" s="22" t="n"/>
      <c r="D55" s="8" t="inlineStr">
        <is>
          <t xml:space="preserve">   Печатная форма для шелкографии</t>
        </is>
      </c>
      <c r="E55" s="22" t="inlineStr">
        <is>
          <t>компл.</t>
        </is>
      </c>
      <c r="F55" s="23" t="n">
        <v>1</v>
      </c>
      <c r="G55" s="24">
        <f>Прайс!E50</f>
        <v/>
      </c>
      <c r="H55" s="25">
        <f>ROUND(F55*G55,0)</f>
        <v/>
      </c>
      <c r="I55" s="26" t="n">
        <v>0</v>
      </c>
      <c r="J55" s="27">
        <f>ROUND(H55*(1-I55),0)</f>
        <v/>
      </c>
      <c r="K55" s="25">
        <f>ROUND(J55*Прайс!$B$5,0)</f>
        <v/>
      </c>
      <c r="L55" s="27">
        <f>J55+K55</f>
        <v/>
      </c>
      <c r="M55" s="8" t="n"/>
      <c r="N55" s="8" t="n"/>
      <c r="O55" s="22" t="n"/>
      <c r="P55" s="8" t="n"/>
    </row>
    <row r="56">
      <c r="A56" s="22" t="n"/>
      <c r="B56" s="22" t="n"/>
      <c r="C56" s="22" t="n"/>
      <c r="D56" s="8" t="inlineStr">
        <is>
          <t xml:space="preserve">   Доставка по Москве</t>
        </is>
      </c>
      <c r="E56" s="22" t="inlineStr">
        <is>
          <t>рейс</t>
        </is>
      </c>
      <c r="F56" s="23" t="n">
        <v>1</v>
      </c>
      <c r="G56" s="24">
        <f>Прайс!E52</f>
        <v/>
      </c>
      <c r="H56" s="25">
        <f>ROUND(F56*G56,0)</f>
        <v/>
      </c>
      <c r="I56" s="26" t="n">
        <v>0</v>
      </c>
      <c r="J56" s="27">
        <f>ROUND(H56*(1-I56),0)</f>
        <v/>
      </c>
      <c r="K56" s="25">
        <f>ROUND(J56*Прайс!$B$5,0)</f>
        <v/>
      </c>
      <c r="L56" s="27">
        <f>J56+K56</f>
        <v/>
      </c>
      <c r="M56" s="8" t="n"/>
      <c r="N56" s="8" t="n"/>
      <c r="O56" s="22" t="n"/>
      <c r="P56" s="8" t="inlineStr">
        <is>
          <t>до Автозаводской, 18</t>
        </is>
      </c>
    </row>
    <row r="57">
      <c r="A57" s="19" t="n"/>
      <c r="B57" s="19" t="n"/>
      <c r="C57" s="19" t="n"/>
      <c r="D57" s="20" t="inlineStr">
        <is>
          <t>Тираж 500 шт.</t>
        </is>
      </c>
      <c r="E57" s="9" t="inlineStr">
        <is>
          <t>итого</t>
        </is>
      </c>
      <c r="F57" s="19" t="n"/>
      <c r="G57" s="19" t="n"/>
      <c r="H57" s="21">
        <f>SUM(H58:H61)</f>
        <v/>
      </c>
      <c r="I57" s="19" t="n"/>
      <c r="J57" s="21">
        <f>SUM(J58:J61)</f>
        <v/>
      </c>
      <c r="K57" s="21">
        <f>SUM(K58:K61)</f>
        <v/>
      </c>
      <c r="L57" s="21">
        <f>SUM(L58:L61)</f>
        <v/>
      </c>
      <c r="M57" s="19" t="inlineStr">
        <is>
          <t>25 р.д. после утверждения образца</t>
        </is>
      </c>
      <c r="N57" s="19" t="n"/>
      <c r="O57" s="19" t="n"/>
      <c r="P57" s="19" t="n"/>
    </row>
    <row r="58">
      <c r="A58" s="22" t="n"/>
      <c r="B58" s="22" t="n"/>
      <c r="C58" s="22" t="n"/>
      <c r="D58" s="8" t="inlineStr">
        <is>
          <t xml:space="preserve">   Кофр 150 × 60 × 10 см, саржа 100% хлопок 260 г/м², молния, ручки, кнопка, тираж 500</t>
        </is>
      </c>
      <c r="E58" s="22" t="inlineStr">
        <is>
          <t>шт.</t>
        </is>
      </c>
      <c r="F58" s="23" t="n">
        <v>500</v>
      </c>
      <c r="G58" s="24">
        <f>Прайс!E47</f>
        <v/>
      </c>
      <c r="H58" s="25">
        <f>ROUND(F58*G58,0)</f>
        <v/>
      </c>
      <c r="I58" s="26" t="n">
        <v>0</v>
      </c>
      <c r="J58" s="27">
        <f>ROUND(H58*(1-I58),0)</f>
        <v/>
      </c>
      <c r="K58" s="25">
        <f>ROUND(J58*Прайс!$B$5,0)</f>
        <v/>
      </c>
      <c r="L58" s="27">
        <f>J58+K58</f>
        <v/>
      </c>
      <c r="M58" s="8" t="n"/>
      <c r="N58" s="8" t="n"/>
      <c r="O58" s="22" t="n"/>
      <c r="P58" s="8" t="n"/>
    </row>
    <row r="59">
      <c r="A59" s="22" t="n"/>
      <c r="B59" s="22" t="n"/>
      <c r="C59" s="22" t="n"/>
      <c r="D59" s="8" t="inlineStr">
        <is>
          <t xml:space="preserve">   Шелкография логотипа 1 цвет, верхняя треть кофра</t>
        </is>
      </c>
      <c r="E59" s="22" t="inlineStr">
        <is>
          <t>шт.</t>
        </is>
      </c>
      <c r="F59" s="23" t="n">
        <v>500</v>
      </c>
      <c r="G59" s="24">
        <f>Прайс!E49</f>
        <v/>
      </c>
      <c r="H59" s="25">
        <f>ROUND(F59*G59,0)</f>
        <v/>
      </c>
      <c r="I59" s="26" t="n">
        <v>0</v>
      </c>
      <c r="J59" s="27">
        <f>ROUND(H59*(1-I59),0)</f>
        <v/>
      </c>
      <c r="K59" s="25">
        <f>ROUND(J59*Прайс!$B$5,0)</f>
        <v/>
      </c>
      <c r="L59" s="27">
        <f>J59+K59</f>
        <v/>
      </c>
      <c r="M59" s="8" t="n"/>
      <c r="N59" s="8" t="n"/>
      <c r="O59" s="22" t="n"/>
      <c r="P59" s="8" t="n"/>
    </row>
    <row r="60">
      <c r="A60" s="22" t="n"/>
      <c r="B60" s="22" t="n"/>
      <c r="C60" s="22" t="n"/>
      <c r="D60" s="8" t="inlineStr">
        <is>
          <t xml:space="preserve">   Печатная форма для шелкографии</t>
        </is>
      </c>
      <c r="E60" s="22" t="inlineStr">
        <is>
          <t>компл.</t>
        </is>
      </c>
      <c r="F60" s="23" t="n">
        <v>1</v>
      </c>
      <c r="G60" s="24">
        <f>Прайс!E50</f>
        <v/>
      </c>
      <c r="H60" s="25">
        <f>ROUND(F60*G60,0)</f>
        <v/>
      </c>
      <c r="I60" s="26" t="n">
        <v>0</v>
      </c>
      <c r="J60" s="27">
        <f>ROUND(H60*(1-I60),0)</f>
        <v/>
      </c>
      <c r="K60" s="25">
        <f>ROUND(J60*Прайс!$B$5,0)</f>
        <v/>
      </c>
      <c r="L60" s="27">
        <f>J60+K60</f>
        <v/>
      </c>
      <c r="M60" s="8" t="n"/>
      <c r="N60" s="8" t="n"/>
      <c r="O60" s="22" t="n"/>
      <c r="P60" s="8" t="n"/>
    </row>
    <row r="61">
      <c r="A61" s="22" t="n"/>
      <c r="B61" s="22" t="n"/>
      <c r="C61" s="22" t="n"/>
      <c r="D61" s="8" t="inlineStr">
        <is>
          <t xml:space="preserve">   Доставка по Москве</t>
        </is>
      </c>
      <c r="E61" s="22" t="inlineStr">
        <is>
          <t>рейс</t>
        </is>
      </c>
      <c r="F61" s="23" t="n">
        <v>1</v>
      </c>
      <c r="G61" s="24">
        <f>Прайс!E52</f>
        <v/>
      </c>
      <c r="H61" s="25">
        <f>ROUND(F61*G61,0)</f>
        <v/>
      </c>
      <c r="I61" s="26" t="n">
        <v>0</v>
      </c>
      <c r="J61" s="27">
        <f>ROUND(H61*(1-I61),0)</f>
        <v/>
      </c>
      <c r="K61" s="25">
        <f>ROUND(J61*Прайс!$B$5,0)</f>
        <v/>
      </c>
      <c r="L61" s="27">
        <f>J61+K61</f>
        <v/>
      </c>
      <c r="M61" s="8" t="n"/>
      <c r="N61" s="8" t="n"/>
      <c r="O61" s="22" t="n"/>
      <c r="P61" s="8" t="inlineStr">
        <is>
          <t>до Автозаводской, 18</t>
        </is>
      </c>
    </row>
    <row r="62">
      <c r="A62" s="19" t="n"/>
      <c r="B62" s="19" t="n"/>
      <c r="C62" s="19" t="n"/>
      <c r="D62" s="20" t="inlineStr">
        <is>
          <t>Тираж 1 000 шт.</t>
        </is>
      </c>
      <c r="E62" s="9" t="inlineStr">
        <is>
          <t>итого</t>
        </is>
      </c>
      <c r="F62" s="19" t="n"/>
      <c r="G62" s="19" t="n"/>
      <c r="H62" s="21">
        <f>SUM(H63:H66)</f>
        <v/>
      </c>
      <c r="I62" s="19" t="n"/>
      <c r="J62" s="21">
        <f>SUM(J63:J66)</f>
        <v/>
      </c>
      <c r="K62" s="21">
        <f>SUM(K63:K66)</f>
        <v/>
      </c>
      <c r="L62" s="21">
        <f>SUM(L63:L66)</f>
        <v/>
      </c>
      <c r="M62" s="19" t="inlineStr">
        <is>
          <t>35 р.д. после утверждения образца</t>
        </is>
      </c>
      <c r="N62" s="19" t="n"/>
      <c r="O62" s="19" t="n"/>
      <c r="P62" s="19" t="n"/>
    </row>
    <row r="63">
      <c r="A63" s="22" t="n"/>
      <c r="B63" s="22" t="n"/>
      <c r="C63" s="22" t="n"/>
      <c r="D63" s="8" t="inlineStr">
        <is>
          <t xml:space="preserve">   Кофр 150 × 60 × 10 см, саржа 100% хлопок 260 г/м², молния, ручки, кнопка, тираж 1000</t>
        </is>
      </c>
      <c r="E63" s="22" t="inlineStr">
        <is>
          <t>шт.</t>
        </is>
      </c>
      <c r="F63" s="23" t="n">
        <v>1000</v>
      </c>
      <c r="G63" s="24">
        <f>Прайс!E48</f>
        <v/>
      </c>
      <c r="H63" s="25">
        <f>ROUND(F63*G63,0)</f>
        <v/>
      </c>
      <c r="I63" s="26" t="n">
        <v>0</v>
      </c>
      <c r="J63" s="27">
        <f>ROUND(H63*(1-I63),0)</f>
        <v/>
      </c>
      <c r="K63" s="25">
        <f>ROUND(J63*Прайс!$B$5,0)</f>
        <v/>
      </c>
      <c r="L63" s="27">
        <f>J63+K63</f>
        <v/>
      </c>
      <c r="M63" s="8" t="n"/>
      <c r="N63" s="8" t="n"/>
      <c r="O63" s="22" t="n"/>
      <c r="P63" s="8" t="n"/>
    </row>
    <row r="64">
      <c r="A64" s="22" t="n"/>
      <c r="B64" s="22" t="n"/>
      <c r="C64" s="22" t="n"/>
      <c r="D64" s="8" t="inlineStr">
        <is>
          <t xml:space="preserve">   Шелкография логотипа 1 цвет, верхняя треть кофра</t>
        </is>
      </c>
      <c r="E64" s="22" t="inlineStr">
        <is>
          <t>шт.</t>
        </is>
      </c>
      <c r="F64" s="23" t="n">
        <v>1000</v>
      </c>
      <c r="G64" s="24">
        <f>Прайс!E49</f>
        <v/>
      </c>
      <c r="H64" s="25">
        <f>ROUND(F64*G64,0)</f>
        <v/>
      </c>
      <c r="I64" s="26" t="n">
        <v>0</v>
      </c>
      <c r="J64" s="27">
        <f>ROUND(H64*(1-I64),0)</f>
        <v/>
      </c>
      <c r="K64" s="25">
        <f>ROUND(J64*Прайс!$B$5,0)</f>
        <v/>
      </c>
      <c r="L64" s="27">
        <f>J64+K64</f>
        <v/>
      </c>
      <c r="M64" s="8" t="n"/>
      <c r="N64" s="8" t="n"/>
      <c r="O64" s="22" t="n"/>
      <c r="P64" s="8" t="n"/>
    </row>
    <row r="65">
      <c r="A65" s="22" t="n"/>
      <c r="B65" s="22" t="n"/>
      <c r="C65" s="22" t="n"/>
      <c r="D65" s="8" t="inlineStr">
        <is>
          <t xml:space="preserve">   Печатная форма для шелкографии</t>
        </is>
      </c>
      <c r="E65" s="22" t="inlineStr">
        <is>
          <t>компл.</t>
        </is>
      </c>
      <c r="F65" s="23" t="n">
        <v>1</v>
      </c>
      <c r="G65" s="24">
        <f>Прайс!E50</f>
        <v/>
      </c>
      <c r="H65" s="25">
        <f>ROUND(F65*G65,0)</f>
        <v/>
      </c>
      <c r="I65" s="26" t="n">
        <v>0</v>
      </c>
      <c r="J65" s="27">
        <f>ROUND(H65*(1-I65),0)</f>
        <v/>
      </c>
      <c r="K65" s="25">
        <f>ROUND(J65*Прайс!$B$5,0)</f>
        <v/>
      </c>
      <c r="L65" s="27">
        <f>J65+K65</f>
        <v/>
      </c>
      <c r="M65" s="8" t="n"/>
      <c r="N65" s="8" t="n"/>
      <c r="O65" s="22" t="n"/>
      <c r="P65" s="8" t="n"/>
    </row>
    <row r="66">
      <c r="A66" s="22" t="n"/>
      <c r="B66" s="22" t="n"/>
      <c r="C66" s="22" t="n"/>
      <c r="D66" s="8" t="inlineStr">
        <is>
          <t xml:space="preserve">   Доставка по Москве</t>
        </is>
      </c>
      <c r="E66" s="22" t="inlineStr">
        <is>
          <t>рейс</t>
        </is>
      </c>
      <c r="F66" s="23" t="n">
        <v>2</v>
      </c>
      <c r="G66" s="24">
        <f>Прайс!E52</f>
        <v/>
      </c>
      <c r="H66" s="25">
        <f>ROUND(F66*G66,0)</f>
        <v/>
      </c>
      <c r="I66" s="26" t="n">
        <v>0</v>
      </c>
      <c r="J66" s="27">
        <f>ROUND(H66*(1-I66),0)</f>
        <v/>
      </c>
      <c r="K66" s="25">
        <f>ROUND(J66*Прайс!$B$5,0)</f>
        <v/>
      </c>
      <c r="L66" s="27">
        <f>J66+K66</f>
        <v/>
      </c>
      <c r="M66" s="8" t="n"/>
      <c r="N66" s="8" t="n"/>
      <c r="O66" s="22" t="n"/>
      <c r="P66" s="8" t="inlineStr">
        <is>
          <t>до Автозаводской, 18</t>
        </is>
      </c>
    </row>
    <row r="67">
      <c r="A67" s="19" t="n"/>
      <c r="B67" s="19" t="n"/>
      <c r="C67" s="19" t="n"/>
      <c r="D67" s="20" t="inlineStr">
        <is>
          <t>Образец с логотипом</t>
        </is>
      </c>
      <c r="E67" s="19" t="inlineStr">
        <is>
          <t>шт.</t>
        </is>
      </c>
      <c r="F67" s="31" t="n">
        <v>1</v>
      </c>
      <c r="G67" s="32">
        <f>Прайс!E51</f>
        <v/>
      </c>
      <c r="H67" s="33">
        <f>ROUND(F67*G67,0)</f>
        <v/>
      </c>
      <c r="I67" s="34" t="n">
        <v>0</v>
      </c>
      <c r="J67" s="35">
        <f>ROUND(H67*(1-I67),0)</f>
        <v/>
      </c>
      <c r="K67" s="33">
        <f>ROUND(J67*Прайс!$B$5,0)</f>
        <v/>
      </c>
      <c r="L67" s="35">
        <f>J67+K67</f>
        <v/>
      </c>
      <c r="M67" s="19" t="inlineStr">
        <is>
          <t>10 р.д.</t>
        </is>
      </c>
      <c r="N67" s="19" t="n"/>
      <c r="O67" s="19" t="n"/>
      <c r="P67" s="19" t="n"/>
    </row>
    <row r="68">
      <c r="A68" s="15" t="n">
        <v>9</v>
      </c>
      <c r="B68" s="16" t="inlineStr">
        <is>
          <t>CGI &amp; AI-студия, CGI-ролики</t>
        </is>
      </c>
      <c r="C68" s="17" t="inlineStr">
        <is>
          <t>Венеция, Времена Года, ЦДМ</t>
        </is>
      </c>
      <c r="D68" s="18" t="inlineStr">
        <is>
          <t>Позиция ТЗ</t>
        </is>
      </c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>
        <f>"100% по факту, оплата в течение "&amp;Прайс!$B$8&amp;" р.д. после акта, без аванса"</f>
        <v/>
      </c>
      <c r="O68" s="17">
        <f>Прайс!$B$9&amp;" мес."</f>
        <v/>
      </c>
      <c r="P68" s="17" t="inlineStr">
        <is>
          <t>2 круга правок на каждом этапе. Исключительные права на ролик и исходники передаем по договору. Музыка передается по лицензии на использование, стоковые и AI-материалы в объеме лицензий сервисов. AI-сервисы только на тарифах с коммерческим использованием.</t>
        </is>
      </c>
    </row>
    <row r="69">
      <c r="A69" s="19" t="n"/>
      <c r="B69" s="19" t="n"/>
      <c r="C69" s="19" t="n"/>
      <c r="D69" s="20" t="inlineStr">
        <is>
          <t>Новогодний CGI/AI-ролик 15 и 30 с, 16:9 и 9:16, без съемки</t>
        </is>
      </c>
      <c r="E69" s="9" t="inlineStr">
        <is>
          <t>итого</t>
        </is>
      </c>
      <c r="F69" s="19" t="n"/>
      <c r="G69" s="19" t="n"/>
      <c r="H69" s="21">
        <f>SUM(H70:H75)</f>
        <v/>
      </c>
      <c r="I69" s="19" t="n"/>
      <c r="J69" s="21">
        <f>SUM(J70:J75)</f>
        <v/>
      </c>
      <c r="K69" s="21">
        <f>SUM(K70:K75)</f>
        <v/>
      </c>
      <c r="L69" s="21">
        <f>SUM(L70:L75)</f>
        <v/>
      </c>
      <c r="M69" s="19" t="inlineStr">
        <is>
          <t>25 р.д. от утверждения брифа</t>
        </is>
      </c>
      <c r="N69" s="19" t="n"/>
      <c r="O69" s="19" t="n"/>
      <c r="P69" s="19" t="n"/>
    </row>
    <row r="70">
      <c r="A70" s="22" t="n"/>
      <c r="B70" s="22" t="n"/>
      <c r="C70" s="22" t="n"/>
      <c r="D70" s="8" t="inlineStr">
        <is>
          <t xml:space="preserve">   Креативная концепция, 2-3 направления</t>
        </is>
      </c>
      <c r="E70" s="22" t="inlineStr">
        <is>
          <t>этап</t>
        </is>
      </c>
      <c r="F70" s="23" t="n">
        <v>1</v>
      </c>
      <c r="G70" s="24">
        <f>Прайс!E53</f>
        <v/>
      </c>
      <c r="H70" s="25">
        <f>ROUND(F70*G70,0)</f>
        <v/>
      </c>
      <c r="I70" s="26">
        <f>Прайс!$B$6</f>
        <v/>
      </c>
      <c r="J70" s="27">
        <f>ROUND(H70*(1-I70),0)</f>
        <v/>
      </c>
      <c r="K70" s="25">
        <f>ROUND(J70*Прайс!$B$5,0)</f>
        <v/>
      </c>
      <c r="L70" s="27">
        <f>J70+K70</f>
        <v/>
      </c>
      <c r="M70" s="8" t="n"/>
      <c r="N70" s="8" t="n"/>
      <c r="O70" s="22" t="n"/>
      <c r="P70" s="8" t="n"/>
    </row>
    <row r="71">
      <c r="A71" s="22" t="n"/>
      <c r="B71" s="22" t="n"/>
      <c r="C71" s="22" t="n"/>
      <c r="D71" s="8" t="inlineStr">
        <is>
          <t xml:space="preserve">   Раскадровка и аниматик</t>
        </is>
      </c>
      <c r="E71" s="22" t="inlineStr">
        <is>
          <t>этап</t>
        </is>
      </c>
      <c r="F71" s="23" t="n">
        <v>1</v>
      </c>
      <c r="G71" s="24">
        <f>Прайс!E54</f>
        <v/>
      </c>
      <c r="H71" s="25">
        <f>ROUND(F71*G71,0)</f>
        <v/>
      </c>
      <c r="I71" s="26">
        <f>Прайс!$B$6</f>
        <v/>
      </c>
      <c r="J71" s="27">
        <f>ROUND(H71*(1-I71),0)</f>
        <v/>
      </c>
      <c r="K71" s="25">
        <f>ROUND(J71*Прайс!$B$5,0)</f>
        <v/>
      </c>
      <c r="L71" s="27">
        <f>J71+K71</f>
        <v/>
      </c>
      <c r="M71" s="8" t="n"/>
      <c r="N71" s="8" t="n"/>
      <c r="O71" s="22" t="n"/>
      <c r="P71" s="8" t="n"/>
    </row>
    <row r="72">
      <c r="A72" s="22" t="n"/>
      <c r="B72" s="22" t="n"/>
      <c r="C72" s="22" t="n"/>
      <c r="D72" s="8" t="inlineStr">
        <is>
          <t xml:space="preserve">   Производство мастер-версии 30 с, CGI и AI, 16:9</t>
        </is>
      </c>
      <c r="E72" s="22" t="inlineStr">
        <is>
          <t>ролик</t>
        </is>
      </c>
      <c r="F72" s="23" t="n">
        <v>1</v>
      </c>
      <c r="G72" s="24">
        <f>Прайс!E55</f>
        <v/>
      </c>
      <c r="H72" s="25">
        <f>ROUND(F72*G72,0)</f>
        <v/>
      </c>
      <c r="I72" s="26">
        <f>Прайс!$B$6</f>
        <v/>
      </c>
      <c r="J72" s="27">
        <f>ROUND(H72*(1-I72),0)</f>
        <v/>
      </c>
      <c r="K72" s="25">
        <f>ROUND(J72*Прайс!$B$5,0)</f>
        <v/>
      </c>
      <c r="L72" s="27">
        <f>J72+K72</f>
        <v/>
      </c>
      <c r="M72" s="8" t="n"/>
      <c r="N72" s="8" t="n"/>
      <c r="O72" s="22" t="n"/>
      <c r="P72" s="8" t="n"/>
    </row>
    <row r="73">
      <c r="A73" s="22" t="n"/>
      <c r="B73" s="22" t="n"/>
      <c r="C73" s="22" t="n"/>
      <c r="D73" s="8" t="inlineStr">
        <is>
          <t xml:space="preserve">   Версия 15 с на основе мастер-версии</t>
        </is>
      </c>
      <c r="E73" s="22" t="inlineStr">
        <is>
          <t>ролик</t>
        </is>
      </c>
      <c r="F73" s="23" t="n">
        <v>1</v>
      </c>
      <c r="G73" s="24">
        <f>Прайс!E56</f>
        <v/>
      </c>
      <c r="H73" s="25">
        <f>ROUND(F73*G73,0)</f>
        <v/>
      </c>
      <c r="I73" s="26">
        <f>Прайс!$B$6</f>
        <v/>
      </c>
      <c r="J73" s="27">
        <f>ROUND(H73*(1-I73),0)</f>
        <v/>
      </c>
      <c r="K73" s="25">
        <f>ROUND(J73*Прайс!$B$5,0)</f>
        <v/>
      </c>
      <c r="L73" s="27">
        <f>J73+K73</f>
        <v/>
      </c>
      <c r="M73" s="8" t="n"/>
      <c r="N73" s="8" t="n"/>
      <c r="O73" s="22" t="n"/>
      <c r="P73" s="8" t="n"/>
    </row>
    <row r="74">
      <c r="A74" s="22" t="n"/>
      <c r="B74" s="22" t="n"/>
      <c r="C74" s="22" t="n"/>
      <c r="D74" s="8" t="inlineStr">
        <is>
          <t xml:space="preserve">   Адаптация в формат 9:16, версии 15 с и 30 с</t>
        </is>
      </c>
      <c r="E74" s="22" t="inlineStr">
        <is>
          <t>компл.</t>
        </is>
      </c>
      <c r="F74" s="23" t="n">
        <v>1</v>
      </c>
      <c r="G74" s="24">
        <f>Прайс!E57</f>
        <v/>
      </c>
      <c r="H74" s="25">
        <f>ROUND(F74*G74,0)</f>
        <v/>
      </c>
      <c r="I74" s="26">
        <f>Прайс!$B$6</f>
        <v/>
      </c>
      <c r="J74" s="27">
        <f>ROUND(H74*(1-I74),0)</f>
        <v/>
      </c>
      <c r="K74" s="25">
        <f>ROUND(J74*Прайс!$B$5,0)</f>
        <v/>
      </c>
      <c r="L74" s="27">
        <f>J74+K74</f>
        <v/>
      </c>
      <c r="M74" s="8" t="n"/>
      <c r="N74" s="8" t="n"/>
      <c r="O74" s="22" t="n"/>
      <c r="P74" s="8" t="n"/>
    </row>
    <row r="75">
      <c r="A75" s="22" t="n"/>
      <c r="B75" s="22" t="n"/>
      <c r="C75" s="22" t="n"/>
      <c r="D75" s="8" t="inlineStr">
        <is>
          <t xml:space="preserve">   Монтаж, цветокоррекция, звук, лицензия на музыку</t>
        </is>
      </c>
      <c r="E75" s="22" t="inlineStr">
        <is>
          <t>этап</t>
        </is>
      </c>
      <c r="F75" s="23" t="n">
        <v>1</v>
      </c>
      <c r="G75" s="24">
        <f>Прайс!E58</f>
        <v/>
      </c>
      <c r="H75" s="25">
        <f>ROUND(F75*G75,0)</f>
        <v/>
      </c>
      <c r="I75" s="26">
        <f>Прайс!$B$6</f>
        <v/>
      </c>
      <c r="J75" s="27">
        <f>ROUND(H75*(1-I75),0)</f>
        <v/>
      </c>
      <c r="K75" s="25">
        <f>ROUND(J75*Прайс!$B$5,0)</f>
        <v/>
      </c>
      <c r="L75" s="27">
        <f>J75+K75</f>
        <v/>
      </c>
      <c r="M75" s="8" t="n"/>
      <c r="N75" s="8" t="n"/>
      <c r="O75" s="22" t="n"/>
      <c r="P75" s="8" t="n"/>
    </row>
    <row r="76">
      <c r="A76" s="15" t="n">
        <v>10</v>
      </c>
      <c r="B76" s="16" t="inlineStr">
        <is>
          <t>Брендинг</t>
        </is>
      </c>
      <c r="C76" s="17" t="inlineStr">
        <is>
          <t>Венеция, Времена Года</t>
        </is>
      </c>
      <c r="D76" s="18" t="inlineStr">
        <is>
          <t>Позиция ТЗ</t>
        </is>
      </c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>
        <f>"100% по факту, оплата в течение "&amp;Прайс!$B$8&amp;" р.д. после акта, без аванса"</f>
        <v/>
      </c>
      <c r="O76" s="17">
        <f>Прайс!$B$9&amp;" мес."</f>
        <v/>
      </c>
      <c r="P76" s="17" t="inlineStr">
        <is>
          <t>3 концепции на старте, 2 круга правок на этапе. Исходники и исключительные права передаем, шрифты и стоки по их лицензиям.</t>
        </is>
      </c>
    </row>
    <row r="77">
      <c r="A77" s="19" t="n"/>
      <c r="B77" s="19" t="n"/>
      <c r="C77" s="19" t="n"/>
      <c r="D77" s="20" t="inlineStr">
        <is>
          <t>Айдентика сезонной кампании: KV, логотип, гайдлайн 10-15 стр., 5 носителей</t>
        </is>
      </c>
      <c r="E77" s="9" t="inlineStr">
        <is>
          <t>итого</t>
        </is>
      </c>
      <c r="F77" s="19" t="n"/>
      <c r="G77" s="19" t="n"/>
      <c r="H77" s="21">
        <f>SUM(H78:H82)</f>
        <v/>
      </c>
      <c r="I77" s="19" t="n"/>
      <c r="J77" s="21">
        <f>SUM(J78:J82)</f>
        <v/>
      </c>
      <c r="K77" s="21">
        <f>SUM(K78:K82)</f>
        <v/>
      </c>
      <c r="L77" s="21">
        <f>SUM(L78:L82)</f>
        <v/>
      </c>
      <c r="M77" s="19" t="inlineStr">
        <is>
          <t>20 р.д.</t>
        </is>
      </c>
      <c r="N77" s="19" t="n"/>
      <c r="O77" s="19" t="n"/>
      <c r="P77" s="19" t="n"/>
    </row>
    <row r="78">
      <c r="A78" s="22" t="n"/>
      <c r="B78" s="22" t="n"/>
      <c r="C78" s="22" t="n"/>
      <c r="D78" s="8" t="inlineStr">
        <is>
          <t xml:space="preserve">   Исследование и бриф</t>
        </is>
      </c>
      <c r="E78" s="22" t="inlineStr">
        <is>
          <t>этап</t>
        </is>
      </c>
      <c r="F78" s="23" t="n">
        <v>1</v>
      </c>
      <c r="G78" s="24">
        <f>Прайс!E62</f>
        <v/>
      </c>
      <c r="H78" s="25">
        <f>ROUND(F78*G78,0)</f>
        <v/>
      </c>
      <c r="I78" s="26">
        <f>Прайс!$B$6</f>
        <v/>
      </c>
      <c r="J78" s="27">
        <f>ROUND(H78*(1-I78),0)</f>
        <v/>
      </c>
      <c r="K78" s="25">
        <f>ROUND(J78*Прайс!$B$5,0)</f>
        <v/>
      </c>
      <c r="L78" s="27">
        <f>J78+K78</f>
        <v/>
      </c>
      <c r="M78" s="8" t="n"/>
      <c r="N78" s="8" t="n"/>
      <c r="O78" s="22" t="n"/>
      <c r="P78" s="8" t="n"/>
    </row>
    <row r="79">
      <c r="A79" s="22" t="n"/>
      <c r="B79" s="22" t="n"/>
      <c r="C79" s="22" t="n"/>
      <c r="D79" s="8" t="inlineStr">
        <is>
          <t xml:space="preserve">   Три концепции: ключевой визуал и логотип кампании</t>
        </is>
      </c>
      <c r="E79" s="22" t="inlineStr">
        <is>
          <t>этап</t>
        </is>
      </c>
      <c r="F79" s="23" t="n">
        <v>1</v>
      </c>
      <c r="G79" s="24">
        <f>Прайс!E63</f>
        <v/>
      </c>
      <c r="H79" s="25">
        <f>ROUND(F79*G79,0)</f>
        <v/>
      </c>
      <c r="I79" s="26">
        <f>Прайс!$B$6</f>
        <v/>
      </c>
      <c r="J79" s="27">
        <f>ROUND(H79*(1-I79),0)</f>
        <v/>
      </c>
      <c r="K79" s="25">
        <f>ROUND(J79*Прайс!$B$5,0)</f>
        <v/>
      </c>
      <c r="L79" s="27">
        <f>J79+K79</f>
        <v/>
      </c>
      <c r="M79" s="8" t="n"/>
      <c r="N79" s="8" t="n"/>
      <c r="O79" s="22" t="n"/>
      <c r="P79" s="8" t="inlineStr">
        <is>
          <t>3 концепции на первом показе</t>
        </is>
      </c>
    </row>
    <row r="80">
      <c r="A80" s="22" t="n"/>
      <c r="B80" s="22" t="n"/>
      <c r="C80" s="22" t="n"/>
      <c r="D80" s="8" t="inlineStr">
        <is>
          <t xml:space="preserve">   Разработка выбранной концепции</t>
        </is>
      </c>
      <c r="E80" s="22" t="inlineStr">
        <is>
          <t>этап</t>
        </is>
      </c>
      <c r="F80" s="23" t="n">
        <v>1</v>
      </c>
      <c r="G80" s="24">
        <f>Прайс!E64</f>
        <v/>
      </c>
      <c r="H80" s="25">
        <f>ROUND(F80*G80,0)</f>
        <v/>
      </c>
      <c r="I80" s="26">
        <f>Прайс!$B$6</f>
        <v/>
      </c>
      <c r="J80" s="27">
        <f>ROUND(H80*(1-I80),0)</f>
        <v/>
      </c>
      <c r="K80" s="25">
        <f>ROUND(J80*Прайс!$B$5,0)</f>
        <v/>
      </c>
      <c r="L80" s="27">
        <f>J80+K80</f>
        <v/>
      </c>
      <c r="M80" s="8" t="n"/>
      <c r="N80" s="8" t="n"/>
      <c r="O80" s="22" t="n"/>
      <c r="P80" s="8" t="n"/>
    </row>
    <row r="81">
      <c r="A81" s="22" t="n"/>
      <c r="B81" s="22" t="n"/>
      <c r="C81" s="22" t="n"/>
      <c r="D81" s="8" t="inlineStr">
        <is>
          <t xml:space="preserve">   Гайдлайн кампании 10-15 страниц</t>
        </is>
      </c>
      <c r="E81" s="22" t="inlineStr">
        <is>
          <t>шт.</t>
        </is>
      </c>
      <c r="F81" s="23" t="n">
        <v>1</v>
      </c>
      <c r="G81" s="24">
        <f>Прайс!E65</f>
        <v/>
      </c>
      <c r="H81" s="25">
        <f>ROUND(F81*G81,0)</f>
        <v/>
      </c>
      <c r="I81" s="26">
        <f>Прайс!$B$6</f>
        <v/>
      </c>
      <c r="J81" s="27">
        <f>ROUND(H81*(1-I81),0)</f>
        <v/>
      </c>
      <c r="K81" s="25">
        <f>ROUND(J81*Прайс!$B$5,0)</f>
        <v/>
      </c>
      <c r="L81" s="27">
        <f>J81+K81</f>
        <v/>
      </c>
      <c r="M81" s="8" t="n"/>
      <c r="N81" s="8" t="n"/>
      <c r="O81" s="22" t="n"/>
      <c r="P81" s="8" t="n"/>
    </row>
    <row r="82">
      <c r="A82" s="22" t="n"/>
      <c r="B82" s="22" t="n"/>
      <c r="C82" s="22" t="n"/>
      <c r="D82" s="8" t="inlineStr">
        <is>
          <t xml:space="preserve">   Адаптация на носитель</t>
        </is>
      </c>
      <c r="E82" s="22" t="inlineStr">
        <is>
          <t>носитель</t>
        </is>
      </c>
      <c r="F82" s="23" t="n">
        <v>5</v>
      </c>
      <c r="G82" s="24">
        <f>Прайс!E66</f>
        <v/>
      </c>
      <c r="H82" s="25">
        <f>ROUND(F82*G82,0)</f>
        <v/>
      </c>
      <c r="I82" s="26">
        <f>Прайс!$B$6</f>
        <v/>
      </c>
      <c r="J82" s="27">
        <f>ROUND(H82*(1-I82),0)</f>
        <v/>
      </c>
      <c r="K82" s="25">
        <f>ROUND(J82*Прайс!$B$5,0)</f>
        <v/>
      </c>
      <c r="L82" s="27">
        <f>J82+K82</f>
        <v/>
      </c>
      <c r="M82" s="8" t="n"/>
      <c r="N82" s="8" t="n"/>
      <c r="O82" s="22" t="n"/>
      <c r="P82" s="8" t="inlineStr">
        <is>
          <t>баннер, пост, сторис, листовка, табличка</t>
        </is>
      </c>
    </row>
    <row r="83">
      <c r="A83" s="15" t="n">
        <v>11</v>
      </c>
      <c r="B83" s="16" t="inlineStr">
        <is>
          <t>Дизайн макетов</t>
        </is>
      </c>
      <c r="C83" s="17" t="inlineStr">
        <is>
          <t>Времена Года, Венеция, Центральный рынок</t>
        </is>
      </c>
      <c r="D83" s="18" t="inlineStr">
        <is>
          <t>Позиция ТЗ</t>
        </is>
      </c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>
        <f>"100% по факту, оплата в течение "&amp;Прайс!$B$8&amp;" р.д. после акта, без аванса"</f>
        <v/>
      </c>
      <c r="O83" s="17">
        <f>Прайс!$B$9&amp;" мес."</f>
        <v/>
      </c>
      <c r="P83" s="17" t="inlineStr">
        <is>
          <t>2 круга правок. Тестовое задание выполняем бесплатно. Исходники AI, PSD, Figma.</t>
        </is>
      </c>
    </row>
    <row r="84">
      <c r="A84" s="19" t="n"/>
      <c r="B84" s="19" t="n"/>
      <c r="C84" s="19" t="n"/>
      <c r="D84" s="20" t="inlineStr">
        <is>
          <t>(1) Адаптация ключевого визуала на 10 форматов</t>
        </is>
      </c>
      <c r="E84" s="9" t="inlineStr">
        <is>
          <t>итого</t>
        </is>
      </c>
      <c r="F84" s="19" t="n"/>
      <c r="G84" s="19" t="n"/>
      <c r="H84" s="21">
        <f>SUM(H85:H85)</f>
        <v/>
      </c>
      <c r="I84" s="19" t="n"/>
      <c r="J84" s="21">
        <f>SUM(J85:J85)</f>
        <v/>
      </c>
      <c r="K84" s="21">
        <f>SUM(K85:K85)</f>
        <v/>
      </c>
      <c r="L84" s="21">
        <f>SUM(L85:L85)</f>
        <v/>
      </c>
      <c r="M84" s="19" t="inlineStr">
        <is>
          <t>2 р.д.</t>
        </is>
      </c>
      <c r="N84" s="19" t="n"/>
      <c r="O84" s="19" t="n"/>
      <c r="P84" s="19" t="n"/>
    </row>
    <row r="85">
      <c r="A85" s="22" t="n"/>
      <c r="B85" s="22" t="n"/>
      <c r="C85" s="22" t="n"/>
      <c r="D85" s="8" t="inlineStr">
        <is>
          <t xml:space="preserve">   Адаптация готового ключевого визуала, один формат</t>
        </is>
      </c>
      <c r="E85" s="22" t="inlineStr">
        <is>
          <t>формат</t>
        </is>
      </c>
      <c r="F85" s="23" t="n">
        <v>10</v>
      </c>
      <c r="G85" s="24">
        <f>Прайс!E67</f>
        <v/>
      </c>
      <c r="H85" s="25">
        <f>ROUND(F85*G85,0)</f>
        <v/>
      </c>
      <c r="I85" s="26">
        <f>Прайс!$B$6</f>
        <v/>
      </c>
      <c r="J85" s="27">
        <f>ROUND(H85*(1-I85),0)</f>
        <v/>
      </c>
      <c r="K85" s="25">
        <f>ROUND(J85*Прайс!$B$5,0)</f>
        <v/>
      </c>
      <c r="L85" s="27">
        <f>J85+K85</f>
        <v/>
      </c>
      <c r="M85" s="8" t="n"/>
      <c r="N85" s="8" t="n"/>
      <c r="O85" s="22" t="n"/>
      <c r="P85" s="8" t="n"/>
    </row>
    <row r="86">
      <c r="A86" s="19" t="n"/>
      <c r="B86" s="19" t="n"/>
      <c r="C86" s="19" t="n"/>
      <c r="D86" s="20" t="inlineStr">
        <is>
          <t>(2) Листовка А5 с нуля по брендбуку</t>
        </is>
      </c>
      <c r="E86" s="19" t="inlineStr">
        <is>
          <t>макет</t>
        </is>
      </c>
      <c r="F86" s="31" t="n">
        <v>1</v>
      </c>
      <c r="G86" s="32">
        <f>Прайс!E68</f>
        <v/>
      </c>
      <c r="H86" s="33">
        <f>ROUND(F86*G86,0)</f>
        <v/>
      </c>
      <c r="I86" s="34">
        <f>Прайс!$B$6</f>
        <v/>
      </c>
      <c r="J86" s="35">
        <f>ROUND(H86*(1-I86),0)</f>
        <v/>
      </c>
      <c r="K86" s="33">
        <f>ROUND(J86*Прайс!$B$5,0)</f>
        <v/>
      </c>
      <c r="L86" s="35">
        <f>J86+K86</f>
        <v/>
      </c>
      <c r="M86" s="19" t="inlineStr">
        <is>
          <t>3 р.д.</t>
        </is>
      </c>
      <c r="N86" s="19" t="n"/>
      <c r="O86" s="19" t="n"/>
      <c r="P86" s="19" t="n"/>
    </row>
    <row r="87">
      <c r="A87" s="19" t="n"/>
      <c r="B87" s="19" t="n"/>
      <c r="C87" s="19" t="n"/>
      <c r="D87" s="20" t="inlineStr">
        <is>
          <t>(3) Почасовая ставка</t>
        </is>
      </c>
      <c r="E87" s="19" t="inlineStr">
        <is>
          <t>час</t>
        </is>
      </c>
      <c r="F87" s="31" t="n">
        <v>1</v>
      </c>
      <c r="G87" s="32">
        <f>Прайс!E69</f>
        <v/>
      </c>
      <c r="H87" s="33">
        <f>ROUND(F87*G87,0)</f>
        <v/>
      </c>
      <c r="I87" s="34">
        <f>Прайс!$B$6</f>
        <v/>
      </c>
      <c r="J87" s="35">
        <f>ROUND(H87*(1-I87),0)</f>
        <v/>
      </c>
      <c r="K87" s="33">
        <f>ROUND(J87*Прайс!$B$5,0)</f>
        <v/>
      </c>
      <c r="L87" s="35">
        <f>J87+K87</f>
        <v/>
      </c>
      <c r="M87" s="19" t="inlineStr"/>
      <c r="N87" s="19" t="n"/>
      <c r="O87" s="19" t="n"/>
      <c r="P87" s="19" t="n"/>
    </row>
    <row r="88">
      <c r="A88" s="15" t="n">
        <v>12</v>
      </c>
      <c r="B88" s="16" t="inlineStr">
        <is>
          <t>Написание текстов</t>
        </is>
      </c>
      <c r="C88" s="17" t="inlineStr">
        <is>
          <t>Времена Года, Венеция</t>
        </is>
      </c>
      <c r="D88" s="18" t="inlineStr">
        <is>
          <t>Позиция ТЗ</t>
        </is>
      </c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>
        <f>"100% по факту, оплата в течение "&amp;Прайс!$B$8&amp;" р.д. после акта, без аванса"</f>
        <v/>
      </c>
      <c r="O88" s="17">
        <f>Прайс!$B$9&amp;" мес."</f>
        <v/>
      </c>
      <c r="P88" s="17" t="inlineStr">
        <is>
          <t>Тестовое задание выполняем бесплатно. Срочный заказ день в день: доплата 50 процентов.</t>
        </is>
      </c>
    </row>
    <row r="89">
      <c r="A89" s="19" t="n"/>
      <c r="B89" s="19" t="n"/>
      <c r="C89" s="19" t="n"/>
      <c r="D89" s="20" t="inlineStr">
        <is>
          <t>(1) Пакет 12 постов в месяц</t>
        </is>
      </c>
      <c r="E89" s="9" t="inlineStr">
        <is>
          <t>итого</t>
        </is>
      </c>
      <c r="F89" s="19" t="n"/>
      <c r="G89" s="19" t="n"/>
      <c r="H89" s="21">
        <f>SUM(H90:H90)</f>
        <v/>
      </c>
      <c r="I89" s="19" t="n"/>
      <c r="J89" s="21">
        <f>SUM(J90:J90)</f>
        <v/>
      </c>
      <c r="K89" s="21">
        <f>SUM(K90:K90)</f>
        <v/>
      </c>
      <c r="L89" s="21">
        <f>SUM(L90:L90)</f>
        <v/>
      </c>
      <c r="M89" s="19" t="inlineStr">
        <is>
          <t>Контент-план за 5 р.д. до начала месяца</t>
        </is>
      </c>
      <c r="N89" s="19" t="n"/>
      <c r="O89" s="19" t="n"/>
      <c r="P89" s="19" t="n"/>
    </row>
    <row r="90">
      <c r="A90" s="22" t="n"/>
      <c r="B90" s="22" t="n"/>
      <c r="C90" s="22" t="n"/>
      <c r="D90" s="8" t="inlineStr">
        <is>
          <t xml:space="preserve">   Пост для соцсетей</t>
        </is>
      </c>
      <c r="E90" s="22" t="inlineStr">
        <is>
          <t>пост</t>
        </is>
      </c>
      <c r="F90" s="23" t="n">
        <v>12</v>
      </c>
      <c r="G90" s="24">
        <f>Прайс!E70</f>
        <v/>
      </c>
      <c r="H90" s="25">
        <f>ROUND(F90*G90,0)</f>
        <v/>
      </c>
      <c r="I90" s="26">
        <f>Прайс!$B$6</f>
        <v/>
      </c>
      <c r="J90" s="27">
        <f>ROUND(H90*(1-I90),0)</f>
        <v/>
      </c>
      <c r="K90" s="25">
        <f>ROUND(J90*Прайс!$B$5,0)</f>
        <v/>
      </c>
      <c r="L90" s="27">
        <f>J90+K90</f>
        <v/>
      </c>
      <c r="M90" s="8" t="n"/>
      <c r="N90" s="8" t="n"/>
      <c r="O90" s="22" t="n"/>
      <c r="P90" s="8" t="n"/>
    </row>
    <row r="91">
      <c r="A91" s="19" t="n"/>
      <c r="B91" s="19" t="n"/>
      <c r="C91" s="19" t="n"/>
      <c r="D91" s="20" t="inlineStr">
        <is>
          <t>(2) Пресс-релиз об открытии магазина, 2000 знаков</t>
        </is>
      </c>
      <c r="E91" s="19" t="inlineStr">
        <is>
          <t>шт.</t>
        </is>
      </c>
      <c r="F91" s="31" t="n">
        <v>1</v>
      </c>
      <c r="G91" s="32">
        <f>Прайс!E71</f>
        <v/>
      </c>
      <c r="H91" s="33">
        <f>ROUND(F91*G91,0)</f>
        <v/>
      </c>
      <c r="I91" s="34">
        <f>Прайс!$B$6</f>
        <v/>
      </c>
      <c r="J91" s="35">
        <f>ROUND(H91*(1-I91),0)</f>
        <v/>
      </c>
      <c r="K91" s="33">
        <f>ROUND(J91*Прайс!$B$5,0)</f>
        <v/>
      </c>
      <c r="L91" s="35">
        <f>J91+K91</f>
        <v/>
      </c>
      <c r="M91" s="19" t="inlineStr">
        <is>
          <t>2 р.д., срочно 1 р.д.</t>
        </is>
      </c>
      <c r="N91" s="19" t="n"/>
      <c r="O91" s="19" t="n"/>
      <c r="P91" s="19" t="n"/>
    </row>
    <row r="92">
      <c r="A92" s="19" t="n"/>
      <c r="B92" s="19" t="n"/>
      <c r="C92" s="19" t="n"/>
      <c r="D92" s="20" t="inlineStr">
        <is>
          <t>(3) Тексты для навигации и табличек, 20 позиций</t>
        </is>
      </c>
      <c r="E92" s="9" t="inlineStr">
        <is>
          <t>итого</t>
        </is>
      </c>
      <c r="F92" s="19" t="n"/>
      <c r="G92" s="19" t="n"/>
      <c r="H92" s="21">
        <f>SUM(H93:H93)</f>
        <v/>
      </c>
      <c r="I92" s="19" t="n"/>
      <c r="J92" s="21">
        <f>SUM(J93:J93)</f>
        <v/>
      </c>
      <c r="K92" s="21">
        <f>SUM(K93:K93)</f>
        <v/>
      </c>
      <c r="L92" s="21">
        <f>SUM(L93:L93)</f>
        <v/>
      </c>
      <c r="M92" s="19" t="inlineStr">
        <is>
          <t>2 р.д.</t>
        </is>
      </c>
      <c r="N92" s="19" t="n"/>
      <c r="O92" s="19" t="n"/>
      <c r="P92" s="19" t="n"/>
    </row>
    <row r="93">
      <c r="A93" s="22" t="n"/>
      <c r="B93" s="22" t="n"/>
      <c r="C93" s="22" t="n"/>
      <c r="D93" s="8" t="inlineStr">
        <is>
          <t xml:space="preserve">   Текст для навигации или таблички</t>
        </is>
      </c>
      <c r="E93" s="22" t="inlineStr">
        <is>
          <t>позиция</t>
        </is>
      </c>
      <c r="F93" s="23" t="n">
        <v>20</v>
      </c>
      <c r="G93" s="24">
        <f>Прайс!E72</f>
        <v/>
      </c>
      <c r="H93" s="25">
        <f>ROUND(F93*G93,0)</f>
        <v/>
      </c>
      <c r="I93" s="26">
        <f>Прайс!$B$6</f>
        <v/>
      </c>
      <c r="J93" s="27">
        <f>ROUND(H93*(1-I93),0)</f>
        <v/>
      </c>
      <c r="K93" s="25">
        <f>ROUND(J93*Прайс!$B$5,0)</f>
        <v/>
      </c>
      <c r="L93" s="27">
        <f>J93+K93</f>
        <v/>
      </c>
      <c r="M93" s="8" t="n"/>
      <c r="N93" s="8" t="n"/>
      <c r="O93" s="22" t="n"/>
      <c r="P93" s="8" t="n"/>
    </row>
    <row r="94">
      <c r="A94" s="15" t="n">
        <v>13</v>
      </c>
      <c r="B94" s="16" t="inlineStr">
        <is>
          <t>Продюсер съемок</t>
        </is>
      </c>
      <c r="C94" s="17" t="inlineStr">
        <is>
          <t>Времена Года, Венеция</t>
        </is>
      </c>
      <c r="D94" s="18" t="inlineStr">
        <is>
          <t>Позиция ТЗ</t>
        </is>
      </c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>
        <f>"Аванс "&amp;TEXT(Прайс!$B$11,"0%")&amp;" на расходы подрядчиков, остаток в течение "&amp;Прайс!$B$8&amp;" р.д. после акта"</f>
        <v/>
      </c>
      <c r="O94" s="17">
        <f>Прайс!$B$9&amp;" мес."</f>
        <v/>
      </c>
      <c r="P94" s="17" t="inlineStr">
        <is>
          <t>Релизы моделей на использование изображения входят в стоимость: 1 год, РФ, ваши каналы и объекты. Шире по договору. На моделей, свет, стилистов и реквизит скидка 10% не действует.</t>
        </is>
      </c>
    </row>
    <row r="95">
      <c r="A95" s="19" t="n"/>
      <c r="B95" s="19" t="n"/>
      <c r="C95" s="19" t="n"/>
      <c r="D95" s="20" t="inlineStr">
        <is>
          <t>Имиджевая съемка на объекте: 1 день 10 ч, 2 модели, итог 30 фото + ролик 30 с</t>
        </is>
      </c>
      <c r="E95" s="9" t="inlineStr">
        <is>
          <t>итого</t>
        </is>
      </c>
      <c r="F95" s="19" t="n"/>
      <c r="G95" s="19" t="n"/>
      <c r="H95" s="21">
        <f>SUM(H96:H108)</f>
        <v/>
      </c>
      <c r="I95" s="19" t="n"/>
      <c r="J95" s="21">
        <f>SUM(J96:J108)</f>
        <v/>
      </c>
      <c r="K95" s="21">
        <f>SUM(K96:K108)</f>
        <v/>
      </c>
      <c r="L95" s="21">
        <f>SUM(L96:L108)</f>
        <v/>
      </c>
      <c r="M95" s="19" t="inlineStr">
        <is>
          <t>Подготовка 7 р.д., сдача 5 р.д. после съемки</t>
        </is>
      </c>
      <c r="N95" s="19" t="n"/>
      <c r="O95" s="19" t="n"/>
      <c r="P95" s="19" t="n"/>
    </row>
    <row r="96">
      <c r="A96" s="22" t="n"/>
      <c r="B96" s="22" t="n"/>
      <c r="C96" s="22" t="n"/>
      <c r="D96" s="8" t="inlineStr">
        <is>
          <t xml:space="preserve">   Продюсер съемки, смена</t>
        </is>
      </c>
      <c r="E96" s="22" t="inlineStr">
        <is>
          <t>смена</t>
        </is>
      </c>
      <c r="F96" s="23" t="n">
        <v>1</v>
      </c>
      <c r="G96" s="24">
        <f>Прайс!E74</f>
        <v/>
      </c>
      <c r="H96" s="25">
        <f>ROUND(F96*G96,0)</f>
        <v/>
      </c>
      <c r="I96" s="26">
        <f>Прайс!$B$6</f>
        <v/>
      </c>
      <c r="J96" s="27">
        <f>ROUND(H96*(1-I96),0)</f>
        <v/>
      </c>
      <c r="K96" s="25">
        <f>ROUND(J96*Прайс!$B$5,0)</f>
        <v/>
      </c>
      <c r="L96" s="27">
        <f>J96+K96</f>
        <v/>
      </c>
      <c r="M96" s="8" t="n"/>
      <c r="N96" s="8" t="n"/>
      <c r="O96" s="22" t="n"/>
      <c r="P96" s="8" t="n"/>
    </row>
    <row r="97">
      <c r="A97" s="22" t="n"/>
      <c r="B97" s="22" t="n"/>
      <c r="C97" s="22" t="n"/>
      <c r="D97" s="8" t="inlineStr">
        <is>
          <t xml:space="preserve">   Фотограф, смена 10 ч</t>
        </is>
      </c>
      <c r="E97" s="22" t="inlineStr">
        <is>
          <t>смена</t>
        </is>
      </c>
      <c r="F97" s="23" t="n">
        <v>1</v>
      </c>
      <c r="G97" s="24">
        <f>Прайс!E75</f>
        <v/>
      </c>
      <c r="H97" s="25">
        <f>ROUND(F97*G97,0)</f>
        <v/>
      </c>
      <c r="I97" s="26">
        <f>Прайс!$B$6</f>
        <v/>
      </c>
      <c r="J97" s="27">
        <f>ROUND(H97*(1-I97),0)</f>
        <v/>
      </c>
      <c r="K97" s="25">
        <f>ROUND(J97*Прайс!$B$5,0)</f>
        <v/>
      </c>
      <c r="L97" s="27">
        <f>J97+K97</f>
        <v/>
      </c>
      <c r="M97" s="8" t="n"/>
      <c r="N97" s="8" t="n"/>
      <c r="O97" s="22" t="n"/>
      <c r="P97" s="8" t="n"/>
    </row>
    <row r="98">
      <c r="A98" s="22" t="n"/>
      <c r="B98" s="22" t="n"/>
      <c r="C98" s="22" t="n"/>
      <c r="D98" s="8" t="inlineStr">
        <is>
          <t xml:space="preserve">   Видеограф с камерой и стабилизатором, смена 10 ч</t>
        </is>
      </c>
      <c r="E98" s="22" t="inlineStr">
        <is>
          <t>смена</t>
        </is>
      </c>
      <c r="F98" s="23" t="n">
        <v>1</v>
      </c>
      <c r="G98" s="24">
        <f>Прайс!E76</f>
        <v/>
      </c>
      <c r="H98" s="25">
        <f>ROUND(F98*G98,0)</f>
        <v/>
      </c>
      <c r="I98" s="26">
        <f>Прайс!$B$6</f>
        <v/>
      </c>
      <c r="J98" s="27">
        <f>ROUND(H98*(1-I98),0)</f>
        <v/>
      </c>
      <c r="K98" s="25">
        <f>ROUND(J98*Прайс!$B$5,0)</f>
        <v/>
      </c>
      <c r="L98" s="27">
        <f>J98+K98</f>
        <v/>
      </c>
      <c r="M98" s="8" t="n"/>
      <c r="N98" s="8" t="n"/>
      <c r="O98" s="22" t="n"/>
      <c r="P98" s="8" t="n"/>
    </row>
    <row r="99">
      <c r="A99" s="22" t="n"/>
      <c r="B99" s="22" t="n"/>
      <c r="C99" s="22" t="n"/>
      <c r="D99" s="8" t="inlineStr">
        <is>
          <t xml:space="preserve">   Свет и грип, комплект на смену</t>
        </is>
      </c>
      <c r="E99" s="22" t="inlineStr">
        <is>
          <t>компл.</t>
        </is>
      </c>
      <c r="F99" s="23" t="n">
        <v>1</v>
      </c>
      <c r="G99" s="24">
        <f>Прайс!E77</f>
        <v/>
      </c>
      <c r="H99" s="25">
        <f>ROUND(F99*G99,0)</f>
        <v/>
      </c>
      <c r="I99" s="26" t="n">
        <v>0</v>
      </c>
      <c r="J99" s="27">
        <f>ROUND(H99*(1-I99),0)</f>
        <v/>
      </c>
      <c r="K99" s="25">
        <f>ROUND(J99*Прайс!$B$5,0)</f>
        <v/>
      </c>
      <c r="L99" s="27">
        <f>J99+K99</f>
        <v/>
      </c>
      <c r="M99" s="8" t="n"/>
      <c r="N99" s="8" t="n"/>
      <c r="O99" s="22" t="n"/>
      <c r="P99" s="8" t="n"/>
    </row>
    <row r="100">
      <c r="A100" s="22" t="n"/>
      <c r="B100" s="22" t="n"/>
      <c r="C100" s="22" t="n"/>
      <c r="D100" s="8" t="inlineStr">
        <is>
          <t xml:space="preserve">   Модель, смена 10 ч, с релизом на использование изображения</t>
        </is>
      </c>
      <c r="E100" s="22" t="inlineStr">
        <is>
          <t>чел.</t>
        </is>
      </c>
      <c r="F100" s="23" t="n">
        <v>2</v>
      </c>
      <c r="G100" s="24">
        <f>Прайс!E78</f>
        <v/>
      </c>
      <c r="H100" s="25">
        <f>ROUND(F100*G100,0)</f>
        <v/>
      </c>
      <c r="I100" s="26" t="n">
        <v>0</v>
      </c>
      <c r="J100" s="27">
        <f>ROUND(H100*(1-I100),0)</f>
        <v/>
      </c>
      <c r="K100" s="25">
        <f>ROUND(J100*Прайс!$B$5,0)</f>
        <v/>
      </c>
      <c r="L100" s="27">
        <f>J100+K100</f>
        <v/>
      </c>
      <c r="M100" s="8" t="n"/>
      <c r="N100" s="8" t="n"/>
      <c r="O100" s="22" t="n"/>
      <c r="P100" s="8" t="n"/>
    </row>
    <row r="101">
      <c r="A101" s="22" t="n"/>
      <c r="B101" s="22" t="n"/>
      <c r="C101" s="22" t="n"/>
      <c r="D101" s="8" t="inlineStr">
        <is>
          <t xml:space="preserve">   Стилист</t>
        </is>
      </c>
      <c r="E101" s="22" t="inlineStr">
        <is>
          <t>смена</t>
        </is>
      </c>
      <c r="F101" s="23" t="n">
        <v>1</v>
      </c>
      <c r="G101" s="24">
        <f>Прайс!E79</f>
        <v/>
      </c>
      <c r="H101" s="25">
        <f>ROUND(F101*G101,0)</f>
        <v/>
      </c>
      <c r="I101" s="26" t="n">
        <v>0</v>
      </c>
      <c r="J101" s="27">
        <f>ROUND(H101*(1-I101),0)</f>
        <v/>
      </c>
      <c r="K101" s="25">
        <f>ROUND(J101*Прайс!$B$5,0)</f>
        <v/>
      </c>
      <c r="L101" s="27">
        <f>J101+K101</f>
        <v/>
      </c>
      <c r="M101" s="8" t="n"/>
      <c r="N101" s="8" t="n"/>
      <c r="O101" s="22" t="n"/>
      <c r="P101" s="8" t="n"/>
    </row>
    <row r="102">
      <c r="A102" s="22" t="n"/>
      <c r="B102" s="22" t="n"/>
      <c r="C102" s="22" t="n"/>
      <c r="D102" s="8" t="inlineStr">
        <is>
          <t xml:space="preserve">   Визажист</t>
        </is>
      </c>
      <c r="E102" s="22" t="inlineStr">
        <is>
          <t>смена</t>
        </is>
      </c>
      <c r="F102" s="23" t="n">
        <v>1</v>
      </c>
      <c r="G102" s="24">
        <f>Прайс!E80</f>
        <v/>
      </c>
      <c r="H102" s="25">
        <f>ROUND(F102*G102,0)</f>
        <v/>
      </c>
      <c r="I102" s="26" t="n">
        <v>0</v>
      </c>
      <c r="J102" s="27">
        <f>ROUND(H102*(1-I102),0)</f>
        <v/>
      </c>
      <c r="K102" s="25">
        <f>ROUND(J102*Прайс!$B$5,0)</f>
        <v/>
      </c>
      <c r="L102" s="27">
        <f>J102+K102</f>
        <v/>
      </c>
      <c r="M102" s="8" t="n"/>
      <c r="N102" s="8" t="n"/>
      <c r="O102" s="22" t="n"/>
      <c r="P102" s="8" t="n"/>
    </row>
    <row r="103">
      <c r="A103" s="22" t="n"/>
      <c r="B103" s="22" t="n"/>
      <c r="C103" s="22" t="n"/>
      <c r="D103" s="8" t="inlineStr">
        <is>
          <t xml:space="preserve">   Реквизит, закупка и аренда</t>
        </is>
      </c>
      <c r="E103" s="22" t="inlineStr">
        <is>
          <t>компл.</t>
        </is>
      </c>
      <c r="F103" s="23" t="n">
        <v>1</v>
      </c>
      <c r="G103" s="24">
        <f>Прайс!E81</f>
        <v/>
      </c>
      <c r="H103" s="25">
        <f>ROUND(F103*G103,0)</f>
        <v/>
      </c>
      <c r="I103" s="26" t="n">
        <v>0</v>
      </c>
      <c r="J103" s="27">
        <f>ROUND(H103*(1-I103),0)</f>
        <v/>
      </c>
      <c r="K103" s="25">
        <f>ROUND(J103*Прайс!$B$5,0)</f>
        <v/>
      </c>
      <c r="L103" s="27">
        <f>J103+K103</f>
        <v/>
      </c>
      <c r="M103" s="8" t="n"/>
      <c r="N103" s="8" t="n"/>
      <c r="O103" s="22" t="n"/>
      <c r="P103" s="8" t="n"/>
    </row>
    <row r="104">
      <c r="A104" s="22" t="n"/>
      <c r="B104" s="22" t="n"/>
      <c r="C104" s="22" t="n"/>
      <c r="D104" s="8" t="inlineStr">
        <is>
          <t xml:space="preserve">   Ассистент</t>
        </is>
      </c>
      <c r="E104" s="22" t="inlineStr">
        <is>
          <t>смена</t>
        </is>
      </c>
      <c r="F104" s="23" t="n">
        <v>2</v>
      </c>
      <c r="G104" s="24">
        <f>Прайс!E82</f>
        <v/>
      </c>
      <c r="H104" s="25">
        <f>ROUND(F104*G104,0)</f>
        <v/>
      </c>
      <c r="I104" s="26" t="n">
        <v>0</v>
      </c>
      <c r="J104" s="27">
        <f>ROUND(H104*(1-I104),0)</f>
        <v/>
      </c>
      <c r="K104" s="25">
        <f>ROUND(J104*Прайс!$B$5,0)</f>
        <v/>
      </c>
      <c r="L104" s="27">
        <f>J104+K104</f>
        <v/>
      </c>
      <c r="M104" s="8" t="n"/>
      <c r="N104" s="8" t="n"/>
      <c r="O104" s="22" t="n"/>
      <c r="P104" s="8" t="n"/>
    </row>
    <row r="105">
      <c r="A105" s="22" t="n"/>
      <c r="B105" s="22" t="n"/>
      <c r="C105" s="22" t="n"/>
      <c r="D105" s="8" t="inlineStr">
        <is>
          <t xml:space="preserve">   Транспорт группы и техники</t>
        </is>
      </c>
      <c r="E105" s="22" t="inlineStr">
        <is>
          <t>компл.</t>
        </is>
      </c>
      <c r="F105" s="23" t="n">
        <v>1</v>
      </c>
      <c r="G105" s="24">
        <f>Прайс!E83</f>
        <v/>
      </c>
      <c r="H105" s="25">
        <f>ROUND(F105*G105,0)</f>
        <v/>
      </c>
      <c r="I105" s="26" t="n">
        <v>0</v>
      </c>
      <c r="J105" s="27">
        <f>ROUND(H105*(1-I105),0)</f>
        <v/>
      </c>
      <c r="K105" s="25">
        <f>ROUND(J105*Прайс!$B$5,0)</f>
        <v/>
      </c>
      <c r="L105" s="27">
        <f>J105+K105</f>
        <v/>
      </c>
      <c r="M105" s="8" t="n"/>
      <c r="N105" s="8" t="n"/>
      <c r="O105" s="22" t="n"/>
      <c r="P105" s="8" t="n"/>
    </row>
    <row r="106">
      <c r="A106" s="22" t="n"/>
      <c r="B106" s="22" t="n"/>
      <c r="C106" s="22" t="n"/>
      <c r="D106" s="8" t="inlineStr">
        <is>
          <t xml:space="preserve">   Ретушь фотографии</t>
        </is>
      </c>
      <c r="E106" s="22" t="inlineStr">
        <is>
          <t>кадр</t>
        </is>
      </c>
      <c r="F106" s="23" t="n">
        <v>30</v>
      </c>
      <c r="G106" s="24">
        <f>Прайс!E84</f>
        <v/>
      </c>
      <c r="H106" s="25">
        <f>ROUND(F106*G106,0)</f>
        <v/>
      </c>
      <c r="I106" s="26">
        <f>Прайс!$B$6</f>
        <v/>
      </c>
      <c r="J106" s="27">
        <f>ROUND(H106*(1-I106),0)</f>
        <v/>
      </c>
      <c r="K106" s="25">
        <f>ROUND(J106*Прайс!$B$5,0)</f>
        <v/>
      </c>
      <c r="L106" s="27">
        <f>J106+K106</f>
        <v/>
      </c>
      <c r="M106" s="8" t="n"/>
      <c r="N106" s="8" t="n"/>
      <c r="O106" s="22" t="n"/>
      <c r="P106" s="8" t="n"/>
    </row>
    <row r="107">
      <c r="A107" s="22" t="n"/>
      <c r="B107" s="22" t="n"/>
      <c r="C107" s="22" t="n"/>
      <c r="D107" s="8" t="inlineStr">
        <is>
          <t xml:space="preserve">   Монтаж ролика 30 с, цвет, звук</t>
        </is>
      </c>
      <c r="E107" s="22" t="inlineStr">
        <is>
          <t>ролик</t>
        </is>
      </c>
      <c r="F107" s="23" t="n">
        <v>1</v>
      </c>
      <c r="G107" s="24">
        <f>Прайс!E85</f>
        <v/>
      </c>
      <c r="H107" s="25">
        <f>ROUND(F107*G107,0)</f>
        <v/>
      </c>
      <c r="I107" s="26">
        <f>Прайс!$B$6</f>
        <v/>
      </c>
      <c r="J107" s="27">
        <f>ROUND(H107*(1-I107),0)</f>
        <v/>
      </c>
      <c r="K107" s="25">
        <f>ROUND(J107*Прайс!$B$5,0)</f>
        <v/>
      </c>
      <c r="L107" s="27">
        <f>J107+K107</f>
        <v/>
      </c>
      <c r="M107" s="8" t="n"/>
      <c r="N107" s="8" t="n"/>
      <c r="O107" s="22" t="n"/>
      <c r="P107" s="8" t="n"/>
    </row>
    <row r="108">
      <c r="A108" s="22" t="n"/>
      <c r="B108" s="22" t="n"/>
      <c r="C108" s="22" t="n"/>
      <c r="D108" s="8" t="inlineStr">
        <is>
          <t xml:space="preserve">   Питание группы</t>
        </is>
      </c>
      <c r="E108" s="22" t="inlineStr">
        <is>
          <t>компл.</t>
        </is>
      </c>
      <c r="F108" s="23" t="n">
        <v>1</v>
      </c>
      <c r="G108" s="24">
        <f>Прайс!E86</f>
        <v/>
      </c>
      <c r="H108" s="25">
        <f>ROUND(F108*G108,0)</f>
        <v/>
      </c>
      <c r="I108" s="26" t="n">
        <v>0</v>
      </c>
      <c r="J108" s="27">
        <f>ROUND(H108*(1-I108),0)</f>
        <v/>
      </c>
      <c r="K108" s="25">
        <f>ROUND(J108*Прайс!$B$5,0)</f>
        <v/>
      </c>
      <c r="L108" s="27">
        <f>J108+K108</f>
        <v/>
      </c>
      <c r="M108" s="8" t="n"/>
      <c r="N108" s="8" t="n"/>
      <c r="O108" s="22" t="n"/>
      <c r="P108" s="8" t="n"/>
    </row>
    <row r="109">
      <c r="A109" s="15" t="n">
        <v>14</v>
      </c>
      <c r="B109" s="16" t="inlineStr">
        <is>
          <t>Фотограф</t>
        </is>
      </c>
      <c r="C109" s="17" t="inlineStr">
        <is>
          <t>ЦДМ, Венеция, Центральный рынок</t>
        </is>
      </c>
      <c r="D109" s="18" t="inlineStr">
        <is>
          <t>Позиция ТЗ</t>
        </is>
      </c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>
        <f>"100% по факту, оплата в течение "&amp;Прайс!$B$8&amp;" р.д. после акта, без аванса"</f>
        <v/>
      </c>
      <c r="O109" s="17">
        <f>Прайс!$B$9&amp;" мес."</f>
        <v/>
      </c>
      <c r="P109" s="17" t="inlineStr">
        <is>
          <t>Базовая ретушь включена. Права на коммерческое использование передаем.</t>
        </is>
      </c>
    </row>
    <row r="110">
      <c r="A110" s="19" t="n"/>
      <c r="B110" s="19" t="n"/>
      <c r="C110" s="19" t="n"/>
      <c r="D110" s="20" t="inlineStr">
        <is>
          <t>(1) Репортаж 3 ч, от 100 обработанных фото, 10 фото для соцсетей через 2 ч</t>
        </is>
      </c>
      <c r="E110" s="9" t="inlineStr">
        <is>
          <t>итого</t>
        </is>
      </c>
      <c r="F110" s="19" t="n"/>
      <c r="G110" s="19" t="n"/>
      <c r="H110" s="21">
        <f>SUM(H111:H111)</f>
        <v/>
      </c>
      <c r="I110" s="19" t="n"/>
      <c r="J110" s="21">
        <f>SUM(J111:J111)</f>
        <v/>
      </c>
      <c r="K110" s="21">
        <f>SUM(K111:K111)</f>
        <v/>
      </c>
      <c r="L110" s="21">
        <f>SUM(L111:L111)</f>
        <v/>
      </c>
      <c r="M110" s="19" t="inlineStr">
        <is>
          <t>10 фото через 2 ч, полный репортаж до 48 ч</t>
        </is>
      </c>
      <c r="N110" s="19" t="n"/>
      <c r="O110" s="19" t="n"/>
      <c r="P110" s="19" t="n"/>
    </row>
    <row r="111">
      <c r="A111" s="22" t="n"/>
      <c r="B111" s="22" t="n"/>
      <c r="C111" s="22" t="n"/>
      <c r="D111" s="8" t="inlineStr">
        <is>
          <t xml:space="preserve">   Фотограф, репортаж, час (минимум 2 ч)</t>
        </is>
      </c>
      <c r="E111" s="22" t="inlineStr">
        <is>
          <t>час</t>
        </is>
      </c>
      <c r="F111" s="23" t="n">
        <v>3</v>
      </c>
      <c r="G111" s="24">
        <f>Прайс!E87</f>
        <v/>
      </c>
      <c r="H111" s="25">
        <f>ROUND(F111*G111,0)</f>
        <v/>
      </c>
      <c r="I111" s="26">
        <f>Прайс!$B$6</f>
        <v/>
      </c>
      <c r="J111" s="27">
        <f>ROUND(H111*(1-I111),0)</f>
        <v/>
      </c>
      <c r="K111" s="25">
        <f>ROUND(J111*Прайс!$B$5,0)</f>
        <v/>
      </c>
      <c r="L111" s="27">
        <f>J111+K111</f>
        <v/>
      </c>
      <c r="M111" s="8" t="n"/>
      <c r="N111" s="8" t="n"/>
      <c r="O111" s="22" t="n"/>
      <c r="P111" s="8" t="n"/>
    </row>
    <row r="112">
      <c r="A112" s="19" t="n"/>
      <c r="B112" s="19" t="n"/>
      <c r="C112" s="19" t="n"/>
      <c r="D112" s="20" t="inlineStr">
        <is>
          <t>(2) Интерьерная съемка общественных зон, 20 фото</t>
        </is>
      </c>
      <c r="E112" s="9" t="inlineStr">
        <is>
          <t>итого</t>
        </is>
      </c>
      <c r="F112" s="19" t="n"/>
      <c r="G112" s="19" t="n"/>
      <c r="H112" s="21">
        <f>SUM(H113:H113)</f>
        <v/>
      </c>
      <c r="I112" s="19" t="n"/>
      <c r="J112" s="21">
        <f>SUM(J113:J113)</f>
        <v/>
      </c>
      <c r="K112" s="21">
        <f>SUM(K113:K113)</f>
        <v/>
      </c>
      <c r="L112" s="21">
        <f>SUM(L113:L113)</f>
        <v/>
      </c>
      <c r="M112" s="19" t="inlineStr">
        <is>
          <t>5 р.д.</t>
        </is>
      </c>
      <c r="N112" s="19" t="n"/>
      <c r="O112" s="19" t="n"/>
      <c r="P112" s="19" t="n"/>
    </row>
    <row r="113">
      <c r="A113" s="22" t="n"/>
      <c r="B113" s="22" t="n"/>
      <c r="C113" s="22" t="n"/>
      <c r="D113" s="8" t="inlineStr">
        <is>
          <t xml:space="preserve">   Интерьерная съемка, обработанный кадр</t>
        </is>
      </c>
      <c r="E113" s="22" t="inlineStr">
        <is>
          <t>кадр</t>
        </is>
      </c>
      <c r="F113" s="23" t="n">
        <v>20</v>
      </c>
      <c r="G113" s="24">
        <f>Прайс!E89</f>
        <v/>
      </c>
      <c r="H113" s="25">
        <f>ROUND(F113*G113,0)</f>
        <v/>
      </c>
      <c r="I113" s="26">
        <f>Прайс!$B$6</f>
        <v/>
      </c>
      <c r="J113" s="27">
        <f>ROUND(H113*(1-I113),0)</f>
        <v/>
      </c>
      <c r="K113" s="25">
        <f>ROUND(J113*Прайс!$B$5,0)</f>
        <v/>
      </c>
      <c r="L113" s="27">
        <f>J113+K113</f>
        <v/>
      </c>
      <c r="M113" s="8" t="n"/>
      <c r="N113" s="8" t="n"/>
      <c r="O113" s="22" t="n"/>
      <c r="P113" s="8" t="n"/>
    </row>
    <row r="114">
      <c r="A114" s="19" t="n"/>
      <c r="B114" s="19" t="n"/>
      <c r="C114" s="19" t="n"/>
      <c r="D114" s="20" t="inlineStr">
        <is>
          <t>(3) Предметная съемка 10 позиций мерча на белом фоне</t>
        </is>
      </c>
      <c r="E114" s="9" t="inlineStr">
        <is>
          <t>итого</t>
        </is>
      </c>
      <c r="F114" s="19" t="n"/>
      <c r="G114" s="19" t="n"/>
      <c r="H114" s="21">
        <f>SUM(H115:H115)</f>
        <v/>
      </c>
      <c r="I114" s="19" t="n"/>
      <c r="J114" s="21">
        <f>SUM(J115:J115)</f>
        <v/>
      </c>
      <c r="K114" s="21">
        <f>SUM(K115:K115)</f>
        <v/>
      </c>
      <c r="L114" s="21">
        <f>SUM(L115:L115)</f>
        <v/>
      </c>
      <c r="M114" s="19" t="inlineStr">
        <is>
          <t>3 р.д.</t>
        </is>
      </c>
      <c r="N114" s="19" t="n"/>
      <c r="O114" s="19" t="n"/>
      <c r="P114" s="19" t="n"/>
    </row>
    <row r="115">
      <c r="A115" s="22" t="n"/>
      <c r="B115" s="22" t="n"/>
      <c r="C115" s="22" t="n"/>
      <c r="D115" s="8" t="inlineStr">
        <is>
          <t xml:space="preserve">   Предметная съемка на белом фоне, кадр</t>
        </is>
      </c>
      <c r="E115" s="22" t="inlineStr">
        <is>
          <t>кадр</t>
        </is>
      </c>
      <c r="F115" s="23" t="n">
        <v>10</v>
      </c>
      <c r="G115" s="24">
        <f>Прайс!E90</f>
        <v/>
      </c>
      <c r="H115" s="25">
        <f>ROUND(F115*G115,0)</f>
        <v/>
      </c>
      <c r="I115" s="26">
        <f>Прайс!$B$6</f>
        <v/>
      </c>
      <c r="J115" s="27">
        <f>ROUND(H115*(1-I115),0)</f>
        <v/>
      </c>
      <c r="K115" s="25">
        <f>ROUND(J115*Прайс!$B$5,0)</f>
        <v/>
      </c>
      <c r="L115" s="27">
        <f>J115+K115</f>
        <v/>
      </c>
      <c r="M115" s="8" t="n"/>
      <c r="N115" s="8" t="n"/>
      <c r="O115" s="22" t="n"/>
      <c r="P115" s="8" t="n"/>
    </row>
    <row r="116">
      <c r="A116" s="15" t="n">
        <v>15</v>
      </c>
      <c r="B116" s="16" t="inlineStr">
        <is>
          <t>Видеограф</t>
        </is>
      </c>
      <c r="C116" s="17" t="inlineStr">
        <is>
          <t>ЦДМ, Венеция, Центральный рынок</t>
        </is>
      </c>
      <c r="D116" s="18" t="inlineStr">
        <is>
          <t>Позиция ТЗ</t>
        </is>
      </c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>
        <f>"100% по факту, оплата в течение "&amp;Прайс!$B$8&amp;" р.д. после акта, без аванса"</f>
        <v/>
      </c>
      <c r="O116" s="17">
        <f>Прайс!$B$9&amp;" мес."</f>
        <v/>
      </c>
      <c r="P116" s="17" t="inlineStr">
        <is>
          <t>Сдача 16:9 и 9:16, 4K. Над центром Москвы полеты ограничены, поэтому в атриумах снимаем FPV-дроном.</t>
        </is>
      </c>
    </row>
    <row r="117">
      <c r="A117" s="19" t="n"/>
      <c r="B117" s="19" t="n"/>
      <c r="C117" s="19" t="n"/>
      <c r="D117" s="20" t="inlineStr">
        <is>
          <t>(1) Съемка 3 ч + отчетный ролик 60-90 с + 2 reels в день мероприятия</t>
        </is>
      </c>
      <c r="E117" s="9" t="inlineStr">
        <is>
          <t>итого</t>
        </is>
      </c>
      <c r="F117" s="19" t="n"/>
      <c r="G117" s="19" t="n"/>
      <c r="H117" s="21">
        <f>SUM(H118:H120)</f>
        <v/>
      </c>
      <c r="I117" s="19" t="n"/>
      <c r="J117" s="21">
        <f>SUM(J118:J120)</f>
        <v/>
      </c>
      <c r="K117" s="21">
        <f>SUM(K118:K120)</f>
        <v/>
      </c>
      <c r="L117" s="21">
        <f>SUM(L118:L120)</f>
        <v/>
      </c>
      <c r="M117" s="19" t="inlineStr">
        <is>
          <t>Reels в день мероприятия, ролик 3 р.д.</t>
        </is>
      </c>
      <c r="N117" s="19" t="n"/>
      <c r="O117" s="19" t="n"/>
      <c r="P117" s="19" t="n"/>
    </row>
    <row r="118">
      <c r="A118" s="22" t="n"/>
      <c r="B118" s="22" t="n"/>
      <c r="C118" s="22" t="n"/>
      <c r="D118" s="8" t="inlineStr">
        <is>
          <t xml:space="preserve">   Видеограф, час (минимум 2 ч)</t>
        </is>
      </c>
      <c r="E118" s="22" t="inlineStr">
        <is>
          <t>час</t>
        </is>
      </c>
      <c r="F118" s="23" t="n">
        <v>3</v>
      </c>
      <c r="G118" s="24">
        <f>Прайс!E91</f>
        <v/>
      </c>
      <c r="H118" s="25">
        <f>ROUND(F118*G118,0)</f>
        <v/>
      </c>
      <c r="I118" s="26">
        <f>Прайс!$B$6</f>
        <v/>
      </c>
      <c r="J118" s="27">
        <f>ROUND(H118*(1-I118),0)</f>
        <v/>
      </c>
      <c r="K118" s="25">
        <f>ROUND(J118*Прайс!$B$5,0)</f>
        <v/>
      </c>
      <c r="L118" s="27">
        <f>J118+K118</f>
        <v/>
      </c>
      <c r="M118" s="8" t="n"/>
      <c r="N118" s="8" t="n"/>
      <c r="O118" s="22" t="n"/>
      <c r="P118" s="8" t="n"/>
    </row>
    <row r="119">
      <c r="A119" s="22" t="n"/>
      <c r="B119" s="22" t="n"/>
      <c r="C119" s="22" t="n"/>
      <c r="D119" s="8" t="inlineStr">
        <is>
          <t xml:space="preserve">   Отчетный ролик 60-90 с, 16:9, 4K</t>
        </is>
      </c>
      <c r="E119" s="22" t="inlineStr">
        <is>
          <t>ролик</t>
        </is>
      </c>
      <c r="F119" s="23" t="n">
        <v>1</v>
      </c>
      <c r="G119" s="24">
        <f>Прайс!E94</f>
        <v/>
      </c>
      <c r="H119" s="25">
        <f>ROUND(F119*G119,0)</f>
        <v/>
      </c>
      <c r="I119" s="26">
        <f>Прайс!$B$6</f>
        <v/>
      </c>
      <c r="J119" s="27">
        <f>ROUND(H119*(1-I119),0)</f>
        <v/>
      </c>
      <c r="K119" s="25">
        <f>ROUND(J119*Прайс!$B$5,0)</f>
        <v/>
      </c>
      <c r="L119" s="27">
        <f>J119+K119</f>
        <v/>
      </c>
      <c r="M119" s="8" t="n"/>
      <c r="N119" s="8" t="n"/>
      <c r="O119" s="22" t="n"/>
      <c r="P119" s="8" t="n"/>
    </row>
    <row r="120">
      <c r="A120" s="22" t="n"/>
      <c r="B120" s="22" t="n"/>
      <c r="C120" s="22" t="n"/>
      <c r="D120" s="8" t="inlineStr">
        <is>
          <t xml:space="preserve">   Reels 15-30 с, 9:16, сдача в день мероприятия</t>
        </is>
      </c>
      <c r="E120" s="22" t="inlineStr">
        <is>
          <t>шт.</t>
        </is>
      </c>
      <c r="F120" s="23" t="n">
        <v>2</v>
      </c>
      <c r="G120" s="24">
        <f>Прайс!E95</f>
        <v/>
      </c>
      <c r="H120" s="25">
        <f>ROUND(F120*G120,0)</f>
        <v/>
      </c>
      <c r="I120" s="26">
        <f>Прайс!$B$6</f>
        <v/>
      </c>
      <c r="J120" s="27">
        <f>ROUND(H120*(1-I120),0)</f>
        <v/>
      </c>
      <c r="K120" s="25">
        <f>ROUND(J120*Прайс!$B$5,0)</f>
        <v/>
      </c>
      <c r="L120" s="27">
        <f>J120+K120</f>
        <v/>
      </c>
      <c r="M120" s="8" t="n"/>
      <c r="N120" s="8" t="n"/>
      <c r="O120" s="22" t="n"/>
      <c r="P120" s="8" t="n"/>
    </row>
    <row r="121">
      <c r="A121" s="19" t="n"/>
      <c r="B121" s="19" t="n"/>
      <c r="C121" s="19" t="n"/>
      <c r="D121" s="20" t="inlineStr">
        <is>
          <t>(2) Съемка с дрона</t>
        </is>
      </c>
      <c r="E121" s="19" t="inlineStr">
        <is>
          <t>выезд</t>
        </is>
      </c>
      <c r="F121" s="31" t="n">
        <v>1</v>
      </c>
      <c r="G121" s="32">
        <f>Прайс!E96</f>
        <v/>
      </c>
      <c r="H121" s="33">
        <f>ROUND(F121*G121,0)</f>
        <v/>
      </c>
      <c r="I121" s="34" t="n">
        <v>0</v>
      </c>
      <c r="J121" s="35">
        <f>ROUND(H121*(1-I121),0)</f>
        <v/>
      </c>
      <c r="K121" s="33">
        <f>ROUND(J121*Прайс!$B$5,0)</f>
        <v/>
      </c>
      <c r="L121" s="35">
        <f>J121+K121</f>
        <v/>
      </c>
      <c r="M121" s="19" t="inlineStr">
        <is>
          <t>В день мероприятия</t>
        </is>
      </c>
      <c r="N121" s="19" t="n"/>
      <c r="O121" s="19" t="n"/>
      <c r="P121" s="19" t="inlineStr">
        <is>
          <t>FPV в помещении</t>
        </is>
      </c>
    </row>
    <row r="122">
      <c r="A122" s="15" t="n">
        <v>16</v>
      </c>
      <c r="B122" s="16" t="inlineStr">
        <is>
          <t>Мерч, корпоративные подарки</t>
        </is>
      </c>
      <c r="C122" s="17" t="inlineStr">
        <is>
          <t>Венеция, Времена Года, Ривьера</t>
        </is>
      </c>
      <c r="D122" s="18" t="inlineStr">
        <is>
          <t>Позиция ТЗ</t>
        </is>
      </c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>
        <f>"Аванс "&amp;TEXT(Прайс!$B$7,"0%")&amp;", остаток "&amp;TEXT(1-Прайс!$B$7,"0%")&amp;" после акта"</f>
        <v/>
      </c>
      <c r="O122" s="17">
        <f>Прайс!$B$10&amp;" мес."</f>
        <v/>
      </c>
      <c r="P122" s="17" t="inlineStr">
        <is>
          <t>Худи и коробку считаем после выбора ткани и конструкции: от них цена меняется в разы. Минимальный тираж от 30 шт. Доставка тиража в расчете. Цена производства действует 3 месяца с даты КП. Сертификаты соответствия на текстиль и посуду.</t>
        </is>
      </c>
    </row>
    <row r="123">
      <c r="A123" s="19" t="n"/>
      <c r="B123" s="19" t="n"/>
      <c r="C123" s="19" t="n"/>
      <c r="D123" s="20" t="inlineStr">
        <is>
          <t>(1) Худи, тиражи 100 и 500 шт.</t>
        </is>
      </c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inlineStr">
        <is>
          <t>Расчет за 2 р.д. после выбора ткани и образца вышивки</t>
        </is>
      </c>
      <c r="N123" s="19" t="n"/>
      <c r="O123" s="19" t="n"/>
      <c r="P123" s="19" t="n"/>
    </row>
    <row r="124">
      <c r="A124" s="22" t="n"/>
      <c r="B124" s="22" t="n"/>
      <c r="C124" s="22" t="n"/>
      <c r="D124" s="8" t="inlineStr">
        <is>
          <t xml:space="preserve">   Худи, хлопок с начесом от 320 г/м², вышивка 10 × 10 см, тираж 100</t>
        </is>
      </c>
      <c r="E124" s="22" t="inlineStr">
        <is>
          <t>шт.</t>
        </is>
      </c>
      <c r="F124" s="23" t="n">
        <v>100</v>
      </c>
      <c r="G124" s="28" t="inlineStr">
        <is>
          <t>По запросу</t>
        </is>
      </c>
      <c r="H124" s="22" t="n"/>
      <c r="I124" s="29" t="n"/>
      <c r="J124" s="28" t="inlineStr">
        <is>
          <t>По запросу</t>
        </is>
      </c>
      <c r="K124" s="22" t="n"/>
      <c r="L124" s="28" t="inlineStr">
        <is>
          <t>По запросу</t>
        </is>
      </c>
      <c r="M124" s="8" t="n"/>
      <c r="N124" s="8" t="n"/>
      <c r="O124" s="22" t="n"/>
      <c r="P124" s="8" t="n"/>
    </row>
    <row r="125">
      <c r="A125" s="22" t="n"/>
      <c r="B125" s="22" t="n"/>
      <c r="C125" s="22" t="n"/>
      <c r="D125" s="8" t="inlineStr">
        <is>
          <t xml:space="preserve">   Худи, хлопок с начесом от 320 г/м², вышивка 10 × 10 см, тираж 500</t>
        </is>
      </c>
      <c r="E125" s="22" t="inlineStr">
        <is>
          <t>шт.</t>
        </is>
      </c>
      <c r="F125" s="23" t="n">
        <v>500</v>
      </c>
      <c r="G125" s="28" t="inlineStr">
        <is>
          <t>По запросу</t>
        </is>
      </c>
      <c r="H125" s="22" t="n"/>
      <c r="I125" s="29" t="n"/>
      <c r="J125" s="28" t="inlineStr">
        <is>
          <t>По запросу</t>
        </is>
      </c>
      <c r="K125" s="22" t="n"/>
      <c r="L125" s="28" t="inlineStr">
        <is>
          <t>По запросу</t>
        </is>
      </c>
      <c r="M125" s="8" t="n"/>
      <c r="N125" s="8" t="n"/>
      <c r="O125" s="22" t="n"/>
      <c r="P125" s="8" t="n"/>
    </row>
    <row r="126">
      <c r="A126" s="19" t="n"/>
      <c r="B126" s="19" t="n"/>
      <c r="C126" s="19" t="n"/>
      <c r="D126" s="20" t="inlineStr">
        <is>
          <t>(2) Шопер, тиражи 100 и 500 шт.</t>
        </is>
      </c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inlineStr">
        <is>
          <t>15 р.д. после утверждения образца</t>
        </is>
      </c>
      <c r="N126" s="19" t="n"/>
      <c r="O126" s="19" t="n"/>
      <c r="P126" s="19" t="n"/>
    </row>
    <row r="127">
      <c r="A127" s="22" t="n"/>
      <c r="B127" s="22" t="n"/>
      <c r="C127" s="22" t="n"/>
      <c r="D127" s="8" t="inlineStr">
        <is>
          <t xml:space="preserve">   Шопер, хлопок 220 г/м², шелкография 1 цвет, тираж 100</t>
        </is>
      </c>
      <c r="E127" s="22" t="inlineStr">
        <is>
          <t>шт.</t>
        </is>
      </c>
      <c r="F127" s="23" t="n">
        <v>100</v>
      </c>
      <c r="G127" s="24">
        <f>Прайс!E99</f>
        <v/>
      </c>
      <c r="H127" s="25">
        <f>ROUND(F127*G127,0)</f>
        <v/>
      </c>
      <c r="I127" s="26" t="n">
        <v>0</v>
      </c>
      <c r="J127" s="27">
        <f>ROUND(H127*(1-I127),0)</f>
        <v/>
      </c>
      <c r="K127" s="25">
        <f>ROUND(J127*Прайс!$B$5,0)</f>
        <v/>
      </c>
      <c r="L127" s="27">
        <f>J127+K127</f>
        <v/>
      </c>
      <c r="M127" s="8" t="n"/>
      <c r="N127" s="8" t="n"/>
      <c r="O127" s="22" t="n"/>
      <c r="P127" s="8" t="n"/>
    </row>
    <row r="128">
      <c r="A128" s="22" t="n"/>
      <c r="B128" s="22" t="n"/>
      <c r="C128" s="22" t="n"/>
      <c r="D128" s="8" t="inlineStr">
        <is>
          <t xml:space="preserve">   Шопер, хлопок 220 г/м², шелкография 1 цвет, тираж 500</t>
        </is>
      </c>
      <c r="E128" s="22" t="inlineStr">
        <is>
          <t>шт.</t>
        </is>
      </c>
      <c r="F128" s="23" t="n">
        <v>500</v>
      </c>
      <c r="G128" s="24">
        <f>Прайс!E100</f>
        <v/>
      </c>
      <c r="H128" s="25">
        <f>ROUND(F128*G128,0)</f>
        <v/>
      </c>
      <c r="I128" s="26" t="n">
        <v>0</v>
      </c>
      <c r="J128" s="27">
        <f>ROUND(H128*(1-I128),0)</f>
        <v/>
      </c>
      <c r="K128" s="25">
        <f>ROUND(J128*Прайс!$B$5,0)</f>
        <v/>
      </c>
      <c r="L128" s="27">
        <f>J128+K128</f>
        <v/>
      </c>
      <c r="M128" s="8" t="n"/>
      <c r="N128" s="8" t="n"/>
      <c r="O128" s="22" t="n"/>
      <c r="P128" s="8" t="n"/>
    </row>
    <row r="129">
      <c r="A129" s="22" t="n"/>
      <c r="B129" s="22" t="n"/>
      <c r="C129" s="22" t="n"/>
      <c r="D129" s="8" t="inlineStr">
        <is>
          <t xml:space="preserve">   Доставка тиража по Москве</t>
        </is>
      </c>
      <c r="E129" s="22" t="inlineStr">
        <is>
          <t>рейс</t>
        </is>
      </c>
      <c r="F129" s="23" t="n">
        <v>1</v>
      </c>
      <c r="G129" s="24">
        <f>Прайс!E105</f>
        <v/>
      </c>
      <c r="H129" s="25">
        <f>ROUND(F129*G129,0)</f>
        <v/>
      </c>
      <c r="I129" s="26" t="n">
        <v>0</v>
      </c>
      <c r="J129" s="27">
        <f>ROUND(H129*(1-I129),0)</f>
        <v/>
      </c>
      <c r="K129" s="25">
        <f>ROUND(J129*Прайс!$B$5,0)</f>
        <v/>
      </c>
      <c r="L129" s="27">
        <f>J129+K129</f>
        <v/>
      </c>
      <c r="M129" s="8" t="n"/>
      <c r="N129" s="8" t="n"/>
      <c r="O129" s="22" t="n"/>
      <c r="P129" s="8" t="inlineStr">
        <is>
          <t>до Автозаводской, 18</t>
        </is>
      </c>
    </row>
    <row r="130">
      <c r="A130" s="19" t="n"/>
      <c r="B130" s="19" t="n"/>
      <c r="C130" s="19" t="n"/>
      <c r="D130" s="20" t="inlineStr">
        <is>
          <t>(3) Термокружка, тиражи 100 и 500 шт.</t>
        </is>
      </c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inlineStr">
        <is>
          <t>15 р.д. после утверждения образца</t>
        </is>
      </c>
      <c r="N130" s="19" t="n"/>
      <c r="O130" s="19" t="n"/>
      <c r="P130" s="19" t="n"/>
    </row>
    <row r="131">
      <c r="A131" s="22" t="n"/>
      <c r="B131" s="22" t="n"/>
      <c r="C131" s="22" t="n"/>
      <c r="D131" s="8" t="inlineStr">
        <is>
          <t xml:space="preserve">   Термокружка 350 мл, лазерная гравировка, тираж 100</t>
        </is>
      </c>
      <c r="E131" s="22" t="inlineStr">
        <is>
          <t>шт.</t>
        </is>
      </c>
      <c r="F131" s="23" t="n">
        <v>100</v>
      </c>
      <c r="G131" s="24">
        <f>Прайс!E101</f>
        <v/>
      </c>
      <c r="H131" s="25">
        <f>ROUND(F131*G131,0)</f>
        <v/>
      </c>
      <c r="I131" s="26" t="n">
        <v>0</v>
      </c>
      <c r="J131" s="27">
        <f>ROUND(H131*(1-I131),0)</f>
        <v/>
      </c>
      <c r="K131" s="25">
        <f>ROUND(J131*Прайс!$B$5,0)</f>
        <v/>
      </c>
      <c r="L131" s="27">
        <f>J131+K131</f>
        <v/>
      </c>
      <c r="M131" s="8" t="n"/>
      <c r="N131" s="8" t="n"/>
      <c r="O131" s="22" t="n"/>
      <c r="P131" s="8" t="n"/>
    </row>
    <row r="132">
      <c r="A132" s="22" t="n"/>
      <c r="B132" s="22" t="n"/>
      <c r="C132" s="22" t="n"/>
      <c r="D132" s="8" t="inlineStr">
        <is>
          <t xml:space="preserve">   Термокружка 350 мл, лазерная гравировка, тираж 500</t>
        </is>
      </c>
      <c r="E132" s="22" t="inlineStr">
        <is>
          <t>шт.</t>
        </is>
      </c>
      <c r="F132" s="23" t="n">
        <v>500</v>
      </c>
      <c r="G132" s="24">
        <f>Прайс!E102</f>
        <v/>
      </c>
      <c r="H132" s="25">
        <f>ROUND(F132*G132,0)</f>
        <v/>
      </c>
      <c r="I132" s="26" t="n">
        <v>0</v>
      </c>
      <c r="J132" s="27">
        <f>ROUND(H132*(1-I132),0)</f>
        <v/>
      </c>
      <c r="K132" s="25">
        <f>ROUND(J132*Прайс!$B$5,0)</f>
        <v/>
      </c>
      <c r="L132" s="27">
        <f>J132+K132</f>
        <v/>
      </c>
      <c r="M132" s="8" t="n"/>
      <c r="N132" s="8" t="n"/>
      <c r="O132" s="22" t="n"/>
      <c r="P132" s="8" t="n"/>
    </row>
    <row r="133">
      <c r="A133" s="22" t="n"/>
      <c r="B133" s="22" t="n"/>
      <c r="C133" s="22" t="n"/>
      <c r="D133" s="8" t="inlineStr">
        <is>
          <t xml:space="preserve">   Доставка тиража по Москве</t>
        </is>
      </c>
      <c r="E133" s="22" t="inlineStr">
        <is>
          <t>рейс</t>
        </is>
      </c>
      <c r="F133" s="23" t="n">
        <v>1</v>
      </c>
      <c r="G133" s="24">
        <f>Прайс!E105</f>
        <v/>
      </c>
      <c r="H133" s="25">
        <f>ROUND(F133*G133,0)</f>
        <v/>
      </c>
      <c r="I133" s="26" t="n">
        <v>0</v>
      </c>
      <c r="J133" s="27">
        <f>ROUND(H133*(1-I133),0)</f>
        <v/>
      </c>
      <c r="K133" s="25">
        <f>ROUND(J133*Прайс!$B$5,0)</f>
        <v/>
      </c>
      <c r="L133" s="27">
        <f>J133+K133</f>
        <v/>
      </c>
      <c r="M133" s="8" t="n"/>
      <c r="N133" s="8" t="n"/>
      <c r="O133" s="22" t="n"/>
      <c r="P133" s="8" t="inlineStr">
        <is>
          <t>до Автозаводской, 18</t>
        </is>
      </c>
    </row>
    <row r="134">
      <c r="A134" s="19" t="n"/>
      <c r="B134" s="19" t="n"/>
      <c r="C134" s="19" t="n"/>
      <c r="D134" s="20" t="inlineStr">
        <is>
          <t>(4) Подарочная коробка с ложементом, тиражи 100 и 500 шт.</t>
        </is>
      </c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inlineStr">
        <is>
          <t>Расчет за 2 р.д. после утверждения конструкции</t>
        </is>
      </c>
      <c r="N134" s="19" t="n"/>
      <c r="O134" s="19" t="n"/>
      <c r="P134" s="19" t="n"/>
    </row>
    <row r="135">
      <c r="A135" s="22" t="n"/>
      <c r="B135" s="22" t="n"/>
      <c r="C135" s="22" t="n"/>
      <c r="D135" s="8" t="inlineStr">
        <is>
          <t xml:space="preserve">   Подарочная коробка с ложементом под 3 позиции, тираж 100</t>
        </is>
      </c>
      <c r="E135" s="22" t="inlineStr">
        <is>
          <t>шт.</t>
        </is>
      </c>
      <c r="F135" s="23" t="n">
        <v>100</v>
      </c>
      <c r="G135" s="28" t="inlineStr">
        <is>
          <t>По запросу</t>
        </is>
      </c>
      <c r="H135" s="22" t="n"/>
      <c r="I135" s="29" t="n"/>
      <c r="J135" s="28" t="inlineStr">
        <is>
          <t>По запросу</t>
        </is>
      </c>
      <c r="K135" s="22" t="n"/>
      <c r="L135" s="28" t="inlineStr">
        <is>
          <t>По запросу</t>
        </is>
      </c>
      <c r="M135" s="8" t="n"/>
      <c r="N135" s="8" t="n"/>
      <c r="O135" s="22" t="n"/>
      <c r="P135" s="8" t="n"/>
    </row>
    <row r="136">
      <c r="A136" s="22" t="n"/>
      <c r="B136" s="22" t="n"/>
      <c r="C136" s="22" t="n"/>
      <c r="D136" s="8" t="inlineStr">
        <is>
          <t xml:space="preserve">   Подарочная коробка с ложементом под 3 позиции, тираж 500</t>
        </is>
      </c>
      <c r="E136" s="22" t="inlineStr">
        <is>
          <t>шт.</t>
        </is>
      </c>
      <c r="F136" s="23" t="n">
        <v>500</v>
      </c>
      <c r="G136" s="28" t="inlineStr">
        <is>
          <t>По запросу</t>
        </is>
      </c>
      <c r="H136" s="22" t="n"/>
      <c r="I136" s="29" t="n"/>
      <c r="J136" s="28" t="inlineStr">
        <is>
          <t>По запросу</t>
        </is>
      </c>
      <c r="K136" s="22" t="n"/>
      <c r="L136" s="28" t="inlineStr">
        <is>
          <t>По запросу</t>
        </is>
      </c>
      <c r="M136" s="8" t="n"/>
      <c r="N136" s="8" t="n"/>
      <c r="O136" s="22" t="n"/>
      <c r="P136" s="8" t="n"/>
    </row>
    <row r="137">
      <c r="A137" s="19" t="n"/>
      <c r="B137" s="19" t="n"/>
      <c r="C137" s="19" t="n"/>
      <c r="D137" s="20" t="inlineStr">
        <is>
          <t>Образец комплекта</t>
        </is>
      </c>
      <c r="E137" s="19" t="inlineStr">
        <is>
          <t>компл.</t>
        </is>
      </c>
      <c r="F137" s="31" t="n">
        <v>1</v>
      </c>
      <c r="G137" s="36" t="inlineStr">
        <is>
          <t>По запросу</t>
        </is>
      </c>
      <c r="H137" s="19" t="n"/>
      <c r="I137" s="19" t="n"/>
      <c r="J137" s="36" t="inlineStr">
        <is>
          <t>По запросу</t>
        </is>
      </c>
      <c r="K137" s="19" t="n"/>
      <c r="L137" s="36" t="inlineStr">
        <is>
          <t>По запросу</t>
        </is>
      </c>
      <c r="M137" s="19" t="inlineStr">
        <is>
          <t>7 р.д.</t>
        </is>
      </c>
      <c r="N137" s="19" t="n"/>
      <c r="O137" s="19" t="n"/>
      <c r="P137" s="19" t="n"/>
    </row>
    <row r="138">
      <c r="A138" s="15" t="n">
        <v>17</v>
      </c>
      <c r="B138" s="16" t="inlineStr">
        <is>
          <t>Сувенирная продукция, PR-боксы</t>
        </is>
      </c>
      <c r="C138" s="17" t="inlineStr">
        <is>
          <t>Венеция</t>
        </is>
      </c>
      <c r="D138" s="18" t="inlineStr">
        <is>
          <t>Позиция ТЗ</t>
        </is>
      </c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>
        <f>"Аванс "&amp;TEXT(Прайс!$B$7,"0%")&amp;", остаток "&amp;TEXT(1-Прайс!$B$7,"0%")&amp;" после акта"</f>
        <v/>
      </c>
      <c r="O138" s="17">
        <f>Прайс!$B$10&amp;" мес."</f>
        <v/>
      </c>
      <c r="P138" s="17" t="inlineStr">
        <is>
          <t>Упаковку считаем после концепции: материал и конструкция коробки задают цену. Наполнение закупаем по согласованному бюджету и чекам, закупка и логистика отдельной строкой. Работаем по списку блогеров заказчика или подбираем свой.</t>
        </is>
      </c>
    </row>
    <row r="139">
      <c r="A139" s="19" t="n"/>
      <c r="B139" s="19" t="n"/>
      <c r="C139" s="19" t="n"/>
      <c r="D139" s="20" t="inlineStr">
        <is>
          <t>PR-бокс для 50 блогеров, наполнение до 5000 руб., доставка по Москве</t>
        </is>
      </c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inlineStr">
        <is>
          <t>15 р.д. от утверждения брифа</t>
        </is>
      </c>
      <c r="N139" s="19" t="n"/>
      <c r="O139" s="19" t="n"/>
      <c r="P139" s="19" t="n"/>
    </row>
    <row r="140">
      <c r="A140" s="22" t="n"/>
      <c r="B140" s="22" t="n"/>
      <c r="C140" s="22" t="n"/>
      <c r="D140" s="8" t="inlineStr">
        <is>
          <t xml:space="preserve">   Концепция PR-бокса</t>
        </is>
      </c>
      <c r="E140" s="22" t="inlineStr">
        <is>
          <t>шт.</t>
        </is>
      </c>
      <c r="F140" s="23" t="n">
        <v>1</v>
      </c>
      <c r="G140" s="24">
        <f>Прайс!E107</f>
        <v/>
      </c>
      <c r="H140" s="25">
        <f>ROUND(F140*G140,0)</f>
        <v/>
      </c>
      <c r="I140" s="26">
        <f>Прайс!$B$6</f>
        <v/>
      </c>
      <c r="J140" s="27">
        <f>ROUND(H140*(1-I140),0)</f>
        <v/>
      </c>
      <c r="K140" s="25">
        <f>ROUND(J140*Прайс!$B$5,0)</f>
        <v/>
      </c>
      <c r="L140" s="27">
        <f>J140+K140</f>
        <v/>
      </c>
      <c r="M140" s="8" t="n"/>
      <c r="N140" s="8" t="n"/>
      <c r="O140" s="22" t="n"/>
      <c r="P140" s="8" t="n"/>
    </row>
    <row r="141">
      <c r="A141" s="22" t="n"/>
      <c r="B141" s="22" t="n"/>
      <c r="C141" s="22" t="n"/>
      <c r="D141" s="8" t="inlineStr">
        <is>
          <t xml:space="preserve">   Брендированная упаковка</t>
        </is>
      </c>
      <c r="E141" s="22" t="inlineStr">
        <is>
          <t>шт.</t>
        </is>
      </c>
      <c r="F141" s="23" t="n">
        <v>50</v>
      </c>
      <c r="G141" s="28" t="inlineStr">
        <is>
          <t>По запросу</t>
        </is>
      </c>
      <c r="H141" s="22" t="n"/>
      <c r="I141" s="29" t="n"/>
      <c r="J141" s="28" t="inlineStr">
        <is>
          <t>По запросу</t>
        </is>
      </c>
      <c r="K141" s="22" t="n"/>
      <c r="L141" s="28" t="inlineStr">
        <is>
          <t>По запросу</t>
        </is>
      </c>
      <c r="M141" s="8" t="n"/>
      <c r="N141" s="8" t="n"/>
      <c r="O141" s="22" t="n"/>
      <c r="P141" s="8" t="inlineStr">
        <is>
          <t>по утвержденной концепции</t>
        </is>
      </c>
    </row>
    <row r="142">
      <c r="A142" s="22" t="n"/>
      <c r="B142" s="22" t="n"/>
      <c r="C142" s="22" t="n"/>
      <c r="D142" s="8" t="inlineStr">
        <is>
          <t xml:space="preserve">   Открытка с персональным текстом</t>
        </is>
      </c>
      <c r="E142" s="22" t="inlineStr">
        <is>
          <t>шт.</t>
        </is>
      </c>
      <c r="F142" s="23" t="n">
        <v>50</v>
      </c>
      <c r="G142" s="24">
        <f>Прайс!E109</f>
        <v/>
      </c>
      <c r="H142" s="25">
        <f>ROUND(F142*G142,0)</f>
        <v/>
      </c>
      <c r="I142" s="26" t="n">
        <v>0</v>
      </c>
      <c r="J142" s="27">
        <f>ROUND(H142*(1-I142),0)</f>
        <v/>
      </c>
      <c r="K142" s="25">
        <f>ROUND(J142*Прайс!$B$5,0)</f>
        <v/>
      </c>
      <c r="L142" s="27">
        <f>J142+K142</f>
        <v/>
      </c>
      <c r="M142" s="8" t="n"/>
      <c r="N142" s="8" t="n"/>
      <c r="O142" s="22" t="n"/>
      <c r="P142" s="8" t="n"/>
    </row>
    <row r="143">
      <c r="A143" s="22" t="n"/>
      <c r="B143" s="22" t="n"/>
      <c r="C143" s="22" t="n"/>
      <c r="D143" s="8" t="inlineStr">
        <is>
          <t xml:space="preserve">   Наполнение по согласованному списку, бюджет до 5 000 ₽</t>
        </is>
      </c>
      <c r="E143" s="22" t="inlineStr">
        <is>
          <t>бокс</t>
        </is>
      </c>
      <c r="F143" s="23" t="n">
        <v>50</v>
      </c>
      <c r="G143" s="24">
        <f>Прайс!E110</f>
        <v/>
      </c>
      <c r="H143" s="25">
        <f>ROUND(F143*G143,0)</f>
        <v/>
      </c>
      <c r="I143" s="26" t="n">
        <v>0</v>
      </c>
      <c r="J143" s="27">
        <f>ROUND(H143*(1-I143),0)</f>
        <v/>
      </c>
      <c r="K143" s="25">
        <f>ROUND(J143*Прайс!$B$5,0)</f>
        <v/>
      </c>
      <c r="L143" s="27">
        <f>J143+K143</f>
        <v/>
      </c>
      <c r="M143" s="8" t="n"/>
      <c r="N143" s="8" t="n"/>
      <c r="O143" s="22" t="n"/>
      <c r="P143" s="8" t="inlineStr">
        <is>
          <t>по чекам</t>
        </is>
      </c>
    </row>
    <row r="144">
      <c r="A144" s="22" t="n"/>
      <c r="B144" s="22" t="n"/>
      <c r="C144" s="22" t="n"/>
      <c r="D144" s="8" t="inlineStr">
        <is>
          <t xml:space="preserve">   Закупка, проверка и логистика наполнения, 25% от бюджета</t>
        </is>
      </c>
      <c r="E144" s="22" t="inlineStr">
        <is>
          <t>бокс</t>
        </is>
      </c>
      <c r="F144" s="23" t="n">
        <v>50</v>
      </c>
      <c r="G144" s="24">
        <f>Прайс!E111</f>
        <v/>
      </c>
      <c r="H144" s="25">
        <f>ROUND(F144*G144,0)</f>
        <v/>
      </c>
      <c r="I144" s="26" t="n">
        <v>0</v>
      </c>
      <c r="J144" s="27">
        <f>ROUND(H144*(1-I144),0)</f>
        <v/>
      </c>
      <c r="K144" s="25">
        <f>ROUND(J144*Прайс!$B$5,0)</f>
        <v/>
      </c>
      <c r="L144" s="27">
        <f>J144+K144</f>
        <v/>
      </c>
      <c r="M144" s="8" t="n"/>
      <c r="N144" s="8" t="n"/>
      <c r="O144" s="22" t="n"/>
      <c r="P144" s="8" t="n"/>
    </row>
    <row r="145">
      <c r="A145" s="22" t="n"/>
      <c r="B145" s="22" t="n"/>
      <c r="C145" s="22" t="n"/>
      <c r="D145" s="8" t="inlineStr">
        <is>
          <t xml:space="preserve">   Сборка и упаковка</t>
        </is>
      </c>
      <c r="E145" s="22" t="inlineStr">
        <is>
          <t>бокс</t>
        </is>
      </c>
      <c r="F145" s="23" t="n">
        <v>50</v>
      </c>
      <c r="G145" s="24">
        <f>Прайс!E112</f>
        <v/>
      </c>
      <c r="H145" s="25">
        <f>ROUND(F145*G145,0)</f>
        <v/>
      </c>
      <c r="I145" s="26" t="n">
        <v>0</v>
      </c>
      <c r="J145" s="27">
        <f>ROUND(H145*(1-I145),0)</f>
        <v/>
      </c>
      <c r="K145" s="25">
        <f>ROUND(J145*Прайс!$B$5,0)</f>
        <v/>
      </c>
      <c r="L145" s="27">
        <f>J145+K145</f>
        <v/>
      </c>
      <c r="M145" s="8" t="n"/>
      <c r="N145" s="8" t="n"/>
      <c r="O145" s="22" t="n"/>
      <c r="P145" s="8" t="n"/>
    </row>
    <row r="146">
      <c r="A146" s="22" t="n"/>
      <c r="B146" s="22" t="n"/>
      <c r="C146" s="22" t="n"/>
      <c r="D146" s="8" t="inlineStr">
        <is>
          <t xml:space="preserve">   Курьерская доставка по Москве, фото вручения</t>
        </is>
      </c>
      <c r="E146" s="22" t="inlineStr">
        <is>
          <t>адрес</t>
        </is>
      </c>
      <c r="F146" s="23" t="n">
        <v>50</v>
      </c>
      <c r="G146" s="24">
        <f>Прайс!E113</f>
        <v/>
      </c>
      <c r="H146" s="25">
        <f>ROUND(F146*G146,0)</f>
        <v/>
      </c>
      <c r="I146" s="26" t="n">
        <v>0</v>
      </c>
      <c r="J146" s="27">
        <f>ROUND(H146*(1-I146),0)</f>
        <v/>
      </c>
      <c r="K146" s="25">
        <f>ROUND(J146*Прайс!$B$5,0)</f>
        <v/>
      </c>
      <c r="L146" s="27">
        <f>J146+K146</f>
        <v/>
      </c>
      <c r="M146" s="8" t="n"/>
      <c r="N146" s="8" t="n"/>
      <c r="O146" s="22" t="n"/>
      <c r="P146" s="8" t="n"/>
    </row>
    <row r="147">
      <c r="A147" s="15" t="n">
        <v>18</v>
      </c>
      <c r="B147" s="16" t="inlineStr">
        <is>
          <t>Брендированная вода</t>
        </is>
      </c>
      <c r="C147" s="17" t="inlineStr">
        <is>
          <t>Времена Года, Венеция</t>
        </is>
      </c>
      <c r="D147" s="18" t="inlineStr">
        <is>
          <t>Позиция ТЗ</t>
        </is>
      </c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>
        <f>"Аванс "&amp;TEXT(Прайс!$B$7,"0%")&amp;", остаток "&amp;TEXT(1-Прайс!$B$7,"0%")&amp;" после акта"</f>
        <v/>
      </c>
      <c r="O147" s="17">
        <f>Прайс!$B$10&amp;" мес."</f>
        <v/>
      </c>
      <c r="P147" s="17" t="inlineStr">
        <is>
          <t>Розлив у сертифицированного производителя, декларации и протоколы испытаний передаем с поставкой. Этикетку печатаем по вашему макету. Хранение при +5...+25 °C, вдали от солнца.</t>
        </is>
      </c>
    </row>
    <row r="148">
      <c r="A148" s="19" t="n"/>
      <c r="B148" s="19" t="n"/>
      <c r="C148" s="19" t="n"/>
      <c r="D148" s="20" t="inlineStr">
        <is>
          <t>(1) Вода 0,33 л ПЭТ, партии 1 000 и 5 000 шт.</t>
        </is>
      </c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inlineStr">
        <is>
          <t>10 р.д. после утверждения этикетки, срок годности 12 мес.</t>
        </is>
      </c>
      <c r="N148" s="19" t="n"/>
      <c r="O148" s="19" t="n"/>
      <c r="P148" s="19" t="n"/>
    </row>
    <row r="149">
      <c r="A149" s="22" t="n"/>
      <c r="B149" s="22" t="n"/>
      <c r="C149" s="22" t="n"/>
      <c r="D149" s="8" t="inlineStr">
        <is>
          <t xml:space="preserve">   Вода негазированная 0,33 л ПЭТ, полноцветная этикетка, партия 1 000</t>
        </is>
      </c>
      <c r="E149" s="22" t="inlineStr">
        <is>
          <t>шт.</t>
        </is>
      </c>
      <c r="F149" s="23" t="n">
        <v>1000</v>
      </c>
      <c r="G149" s="24">
        <f>Прайс!E114</f>
        <v/>
      </c>
      <c r="H149" s="25">
        <f>ROUND(F149*G149,0)</f>
        <v/>
      </c>
      <c r="I149" s="26" t="n">
        <v>0</v>
      </c>
      <c r="J149" s="27">
        <f>ROUND(H149*(1-I149),0)</f>
        <v/>
      </c>
      <c r="K149" s="25">
        <f>ROUND(J149*Прайс!$B$5,0)</f>
        <v/>
      </c>
      <c r="L149" s="27">
        <f>J149+K149</f>
        <v/>
      </c>
      <c r="M149" s="8" t="n"/>
      <c r="N149" s="8" t="n"/>
      <c r="O149" s="22" t="n"/>
      <c r="P149" s="8" t="n"/>
    </row>
    <row r="150">
      <c r="A150" s="22" t="n"/>
      <c r="B150" s="22" t="n"/>
      <c r="C150" s="22" t="n"/>
      <c r="D150" s="8" t="inlineStr">
        <is>
          <t xml:space="preserve">   Вода негазированная 0,33 л ПЭТ, полноцветная этикетка, партия 5 000</t>
        </is>
      </c>
      <c r="E150" s="22" t="inlineStr">
        <is>
          <t>шт.</t>
        </is>
      </c>
      <c r="F150" s="23" t="n">
        <v>5000</v>
      </c>
      <c r="G150" s="24">
        <f>Прайс!E115</f>
        <v/>
      </c>
      <c r="H150" s="25">
        <f>ROUND(F150*G150,0)</f>
        <v/>
      </c>
      <c r="I150" s="26" t="n">
        <v>0</v>
      </c>
      <c r="J150" s="27">
        <f>ROUND(H150*(1-I150),0)</f>
        <v/>
      </c>
      <c r="K150" s="25">
        <f>ROUND(J150*Прайс!$B$5,0)</f>
        <v/>
      </c>
      <c r="L150" s="27">
        <f>J150+K150</f>
        <v/>
      </c>
      <c r="M150" s="8" t="n"/>
      <c r="N150" s="8" t="n"/>
      <c r="O150" s="22" t="n"/>
      <c r="P150" s="8" t="n"/>
    </row>
    <row r="151">
      <c r="A151" s="22" t="n"/>
      <c r="B151" s="22" t="n"/>
      <c r="C151" s="22" t="n"/>
      <c r="D151" s="8" t="inlineStr">
        <is>
          <t xml:space="preserve">   Доставка до объекта по Москве</t>
        </is>
      </c>
      <c r="E151" s="22" t="inlineStr">
        <is>
          <t>рейс</t>
        </is>
      </c>
      <c r="F151" s="23" t="n">
        <v>1</v>
      </c>
      <c r="G151" s="24">
        <f>Прайс!E118</f>
        <v/>
      </c>
      <c r="H151" s="25">
        <f>ROUND(F151*G151,0)</f>
        <v/>
      </c>
      <c r="I151" s="26" t="n">
        <v>0</v>
      </c>
      <c r="J151" s="27">
        <f>ROUND(H151*(1-I151),0)</f>
        <v/>
      </c>
      <c r="K151" s="25">
        <f>ROUND(J151*Прайс!$B$5,0)</f>
        <v/>
      </c>
      <c r="L151" s="27">
        <f>J151+K151</f>
        <v/>
      </c>
      <c r="M151" s="8" t="n"/>
      <c r="N151" s="8" t="n"/>
      <c r="O151" s="22" t="n"/>
      <c r="P151" s="8" t="inlineStr">
        <is>
          <t>на партию</t>
        </is>
      </c>
    </row>
    <row r="152">
      <c r="A152" s="19" t="n"/>
      <c r="B152" s="19" t="n"/>
      <c r="C152" s="19" t="n"/>
      <c r="D152" s="20" t="inlineStr">
        <is>
          <t>(2) Вода 0,33 л в стекле, партии 1 000 и 5 000 шт.</t>
        </is>
      </c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inlineStr">
        <is>
          <t>15 р.д. после утверждения этикетки, срок годности 24 мес.</t>
        </is>
      </c>
      <c r="N152" s="19" t="n"/>
      <c r="O152" s="19" t="n"/>
      <c r="P152" s="19" t="n"/>
    </row>
    <row r="153">
      <c r="A153" s="22" t="n"/>
      <c r="B153" s="22" t="n"/>
      <c r="C153" s="22" t="n"/>
      <c r="D153" s="8" t="inlineStr">
        <is>
          <t xml:space="preserve">   Вода 0,33 л в стекле, полноцветная этикетка, партия 1 000</t>
        </is>
      </c>
      <c r="E153" s="22" t="inlineStr">
        <is>
          <t>шт.</t>
        </is>
      </c>
      <c r="F153" s="23" t="n">
        <v>1000</v>
      </c>
      <c r="G153" s="24">
        <f>Прайс!E116</f>
        <v/>
      </c>
      <c r="H153" s="25">
        <f>ROUND(F153*G153,0)</f>
        <v/>
      </c>
      <c r="I153" s="26" t="n">
        <v>0</v>
      </c>
      <c r="J153" s="27">
        <f>ROUND(H153*(1-I153),0)</f>
        <v/>
      </c>
      <c r="K153" s="25">
        <f>ROUND(J153*Прайс!$B$5,0)</f>
        <v/>
      </c>
      <c r="L153" s="27">
        <f>J153+K153</f>
        <v/>
      </c>
      <c r="M153" s="8" t="n"/>
      <c r="N153" s="8" t="n"/>
      <c r="O153" s="22" t="n"/>
      <c r="P153" s="8" t="n"/>
    </row>
    <row r="154">
      <c r="A154" s="22" t="n"/>
      <c r="B154" s="22" t="n"/>
      <c r="C154" s="22" t="n"/>
      <c r="D154" s="8" t="inlineStr">
        <is>
          <t xml:space="preserve">   Вода 0,33 л в стекле, полноцветная этикетка, партия 5 000</t>
        </is>
      </c>
      <c r="E154" s="22" t="inlineStr">
        <is>
          <t>шт.</t>
        </is>
      </c>
      <c r="F154" s="23" t="n">
        <v>5000</v>
      </c>
      <c r="G154" s="24">
        <f>Прайс!E117</f>
        <v/>
      </c>
      <c r="H154" s="25">
        <f>ROUND(F154*G154,0)</f>
        <v/>
      </c>
      <c r="I154" s="26" t="n">
        <v>0</v>
      </c>
      <c r="J154" s="27">
        <f>ROUND(H154*(1-I154),0)</f>
        <v/>
      </c>
      <c r="K154" s="25">
        <f>ROUND(J154*Прайс!$B$5,0)</f>
        <v/>
      </c>
      <c r="L154" s="27">
        <f>J154+K154</f>
        <v/>
      </c>
      <c r="M154" s="8" t="n"/>
      <c r="N154" s="8" t="n"/>
      <c r="O154" s="22" t="n"/>
      <c r="P154" s="8" t="n"/>
    </row>
    <row r="155">
      <c r="A155" s="22" t="n"/>
      <c r="B155" s="22" t="n"/>
      <c r="C155" s="22" t="n"/>
      <c r="D155" s="8" t="inlineStr">
        <is>
          <t xml:space="preserve">   Доставка до объекта по Москве</t>
        </is>
      </c>
      <c r="E155" s="22" t="inlineStr">
        <is>
          <t>рейс</t>
        </is>
      </c>
      <c r="F155" s="23" t="n">
        <v>1</v>
      </c>
      <c r="G155" s="24">
        <f>Прайс!E118</f>
        <v/>
      </c>
      <c r="H155" s="25">
        <f>ROUND(F155*G155,0)</f>
        <v/>
      </c>
      <c r="I155" s="26" t="n">
        <v>0</v>
      </c>
      <c r="J155" s="27">
        <f>ROUND(H155*(1-I155),0)</f>
        <v/>
      </c>
      <c r="K155" s="25">
        <f>ROUND(J155*Прайс!$B$5,0)</f>
        <v/>
      </c>
      <c r="L155" s="27">
        <f>J155+K155</f>
        <v/>
      </c>
      <c r="M155" s="8" t="n"/>
      <c r="N155" s="8" t="n"/>
      <c r="O155" s="22" t="n"/>
      <c r="P155" s="8" t="inlineStr">
        <is>
          <t>на партию</t>
        </is>
      </c>
    </row>
    <row r="156">
      <c r="A156" s="15" t="n">
        <v>19</v>
      </c>
      <c r="B156" s="16" t="inlineStr">
        <is>
          <t>Свечи и диффузоры</t>
        </is>
      </c>
      <c r="C156" s="17" t="inlineStr">
        <is>
          <t>Времена Года, Венеция</t>
        </is>
      </c>
      <c r="D156" s="18" t="inlineStr">
        <is>
          <t>Позиция ТЗ</t>
        </is>
      </c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>
        <f>"Аванс "&amp;TEXT(Прайс!$B$7,"0%")&amp;", остаток "&amp;TEXT(1-Прайс!$B$7,"0%")&amp;" после акта"</f>
        <v/>
      </c>
      <c r="O156" s="17">
        <f>Прайс!$B$10&amp;" мес."</f>
        <v/>
      </c>
      <c r="P156" s="17" t="inlineStr">
        <is>
          <t>Соевый или кокосовый воск, отдушки с сертификатами IFRA. Мыло и кремы производятся по декларации ЕАЭС производителя. Срок годности свечей и диффузоров 24 мес., мыла 18 мес.</t>
        </is>
      </c>
    </row>
    <row r="157">
      <c r="A157" s="19" t="n"/>
      <c r="B157" s="19" t="n"/>
      <c r="C157" s="19" t="n"/>
      <c r="D157" s="20" t="inlineStr">
        <is>
          <t>(1) Разработка эксклюзивного аромата, 3 варианта</t>
        </is>
      </c>
      <c r="E157" s="19" t="inlineStr">
        <is>
          <t>компл.</t>
        </is>
      </c>
      <c r="F157" s="31" t="n">
        <v>1</v>
      </c>
      <c r="G157" s="32">
        <f>Прайс!E119</f>
        <v/>
      </c>
      <c r="H157" s="33">
        <f>ROUND(F157*G157,0)</f>
        <v/>
      </c>
      <c r="I157" s="34" t="n">
        <v>0</v>
      </c>
      <c r="J157" s="35">
        <f>ROUND(H157*(1-I157),0)</f>
        <v/>
      </c>
      <c r="K157" s="33">
        <f>ROUND(J157*Прайс!$B$5,0)</f>
        <v/>
      </c>
      <c r="L157" s="35">
        <f>J157+K157</f>
        <v/>
      </c>
      <c r="M157" s="19" t="inlineStr">
        <is>
          <t>15 р.д., образцы ароматов высылаем</t>
        </is>
      </c>
      <c r="N157" s="19" t="n"/>
      <c r="O157" s="19" t="n"/>
      <c r="P157" s="19" t="n"/>
    </row>
    <row r="158">
      <c r="A158" s="19" t="n"/>
      <c r="B158" s="19" t="n"/>
      <c r="C158" s="19" t="n"/>
      <c r="D158" s="20" t="inlineStr">
        <is>
          <t>(2) Свеча 200 мл, партии 100 и 300 шт.</t>
        </is>
      </c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inlineStr">
        <is>
          <t>20 р.д. после утверждения аромата и упаковки</t>
        </is>
      </c>
      <c r="N158" s="19" t="n"/>
      <c r="O158" s="19" t="n"/>
      <c r="P158" s="19" t="n"/>
    </row>
    <row r="159">
      <c r="A159" s="22" t="n"/>
      <c r="B159" s="22" t="n"/>
      <c r="C159" s="22" t="n"/>
      <c r="D159" s="8" t="inlineStr">
        <is>
          <t xml:space="preserve">   Свеча 200 мл в стекле с крышкой, брендированная коробка, партия 100</t>
        </is>
      </c>
      <c r="E159" s="22" t="inlineStr">
        <is>
          <t>шт.</t>
        </is>
      </c>
      <c r="F159" s="23" t="n">
        <v>100</v>
      </c>
      <c r="G159" s="24">
        <f>Прайс!E120</f>
        <v/>
      </c>
      <c r="H159" s="25">
        <f>ROUND(F159*G159,0)</f>
        <v/>
      </c>
      <c r="I159" s="26" t="n">
        <v>0</v>
      </c>
      <c r="J159" s="27">
        <f>ROUND(H159*(1-I159),0)</f>
        <v/>
      </c>
      <c r="K159" s="25">
        <f>ROUND(J159*Прайс!$B$5,0)</f>
        <v/>
      </c>
      <c r="L159" s="27">
        <f>J159+K159</f>
        <v/>
      </c>
      <c r="M159" s="8" t="n"/>
      <c r="N159" s="8" t="n"/>
      <c r="O159" s="22" t="n"/>
      <c r="P159" s="8" t="n"/>
    </row>
    <row r="160">
      <c r="A160" s="22" t="n"/>
      <c r="B160" s="22" t="n"/>
      <c r="C160" s="22" t="n"/>
      <c r="D160" s="8" t="inlineStr">
        <is>
          <t xml:space="preserve">   Свеча 200 мл в стекле с крышкой, брендированная коробка, партия 300</t>
        </is>
      </c>
      <c r="E160" s="22" t="inlineStr">
        <is>
          <t>шт.</t>
        </is>
      </c>
      <c r="F160" s="23" t="n">
        <v>300</v>
      </c>
      <c r="G160" s="24">
        <f>Прайс!E121</f>
        <v/>
      </c>
      <c r="H160" s="25">
        <f>ROUND(F160*G160,0)</f>
        <v/>
      </c>
      <c r="I160" s="26" t="n">
        <v>0</v>
      </c>
      <c r="J160" s="27">
        <f>ROUND(H160*(1-I160),0)</f>
        <v/>
      </c>
      <c r="K160" s="25">
        <f>ROUND(J160*Прайс!$B$5,0)</f>
        <v/>
      </c>
      <c r="L160" s="27">
        <f>J160+K160</f>
        <v/>
      </c>
      <c r="M160" s="8" t="n"/>
      <c r="N160" s="8" t="n"/>
      <c r="O160" s="22" t="n"/>
      <c r="P160" s="8" t="n"/>
    </row>
    <row r="161">
      <c r="A161" s="19" t="n"/>
      <c r="B161" s="19" t="n"/>
      <c r="C161" s="19" t="n"/>
      <c r="D161" s="20" t="inlineStr">
        <is>
          <t>(3) Диффузор 100 мл, партия 100 шт.</t>
        </is>
      </c>
      <c r="E161" s="9" t="inlineStr">
        <is>
          <t>итого</t>
        </is>
      </c>
      <c r="F161" s="19" t="n"/>
      <c r="G161" s="19" t="n"/>
      <c r="H161" s="21">
        <f>SUM(H162:H163)</f>
        <v/>
      </c>
      <c r="I161" s="19" t="n"/>
      <c r="J161" s="21">
        <f>SUM(J162:J163)</f>
        <v/>
      </c>
      <c r="K161" s="21">
        <f>SUM(K162:K163)</f>
        <v/>
      </c>
      <c r="L161" s="21">
        <f>SUM(L162:L163)</f>
        <v/>
      </c>
      <c r="M161" s="19" t="inlineStr">
        <is>
          <t>20 р.д. после утверждения аромата и упаковки</t>
        </is>
      </c>
      <c r="N161" s="19" t="n"/>
      <c r="O161" s="19" t="n"/>
      <c r="P161" s="19" t="n"/>
    </row>
    <row r="162">
      <c r="A162" s="22" t="n"/>
      <c r="B162" s="22" t="n"/>
      <c r="C162" s="22" t="n"/>
      <c r="D162" s="8" t="inlineStr">
        <is>
          <t xml:space="preserve">   Диффузор 100 мл с палочками, брендированная упаковка, партия 100</t>
        </is>
      </c>
      <c r="E162" s="22" t="inlineStr">
        <is>
          <t>шт.</t>
        </is>
      </c>
      <c r="F162" s="23" t="n">
        <v>100</v>
      </c>
      <c r="G162" s="24">
        <f>Прайс!E122</f>
        <v/>
      </c>
      <c r="H162" s="25">
        <f>ROUND(F162*G162,0)</f>
        <v/>
      </c>
      <c r="I162" s="26" t="n">
        <v>0</v>
      </c>
      <c r="J162" s="27">
        <f>ROUND(H162*(1-I162),0)</f>
        <v/>
      </c>
      <c r="K162" s="25">
        <f>ROUND(J162*Прайс!$B$5,0)</f>
        <v/>
      </c>
      <c r="L162" s="27">
        <f>J162+K162</f>
        <v/>
      </c>
      <c r="M162" s="8" t="n"/>
      <c r="N162" s="8" t="n"/>
      <c r="O162" s="22" t="n"/>
      <c r="P162" s="8" t="n"/>
    </row>
    <row r="163">
      <c r="A163" s="22" t="n"/>
      <c r="B163" s="22" t="n"/>
      <c r="C163" s="22" t="n"/>
      <c r="D163" s="8" t="inlineStr">
        <is>
          <t xml:space="preserve">   Доставка по Москве</t>
        </is>
      </c>
      <c r="E163" s="22" t="inlineStr">
        <is>
          <t>рейс</t>
        </is>
      </c>
      <c r="F163" s="23" t="n">
        <v>1</v>
      </c>
      <c r="G163" s="24">
        <f>Прайс!E124</f>
        <v/>
      </c>
      <c r="H163" s="25">
        <f>ROUND(F163*G163,0)</f>
        <v/>
      </c>
      <c r="I163" s="26" t="n">
        <v>0</v>
      </c>
      <c r="J163" s="27">
        <f>ROUND(H163*(1-I163),0)</f>
        <v/>
      </c>
      <c r="K163" s="25">
        <f>ROUND(J163*Прайс!$B$5,0)</f>
        <v/>
      </c>
      <c r="L163" s="27">
        <f>J163+K163</f>
        <v/>
      </c>
      <c r="M163" s="8" t="n"/>
      <c r="N163" s="8" t="n"/>
      <c r="O163" s="22" t="n"/>
      <c r="P163" s="8" t="inlineStr">
        <is>
          <t>до Автозаводской, 18</t>
        </is>
      </c>
    </row>
    <row r="164">
      <c r="A164" s="19" t="n"/>
      <c r="B164" s="19" t="n"/>
      <c r="C164" s="19" t="n"/>
      <c r="D164" s="20" t="inlineStr">
        <is>
          <t>(4) Мыло жидкое 250 мл, партия 300 шт.</t>
        </is>
      </c>
      <c r="E164" s="9" t="inlineStr">
        <is>
          <t>итого</t>
        </is>
      </c>
      <c r="F164" s="19" t="n"/>
      <c r="G164" s="19" t="n"/>
      <c r="H164" s="21">
        <f>SUM(H165:H166)</f>
        <v/>
      </c>
      <c r="I164" s="19" t="n"/>
      <c r="J164" s="21">
        <f>SUM(J165:J166)</f>
        <v/>
      </c>
      <c r="K164" s="21">
        <f>SUM(K165:K166)</f>
        <v/>
      </c>
      <c r="L164" s="21">
        <f>SUM(L165:L166)</f>
        <v/>
      </c>
      <c r="M164" s="19" t="inlineStr">
        <is>
          <t>20 р.д. после утверждения аромата и этикетки</t>
        </is>
      </c>
      <c r="N164" s="19" t="n"/>
      <c r="O164" s="19" t="n"/>
      <c r="P164" s="19" t="n"/>
    </row>
    <row r="165">
      <c r="A165" s="22" t="n"/>
      <c r="B165" s="22" t="n"/>
      <c r="C165" s="22" t="n"/>
      <c r="D165" s="8" t="inlineStr">
        <is>
          <t xml:space="preserve">   Мыло жидкое 250 мл с дозатором, брендированная этикетка, партия 300</t>
        </is>
      </c>
      <c r="E165" s="22" t="inlineStr">
        <is>
          <t>шт.</t>
        </is>
      </c>
      <c r="F165" s="23" t="n">
        <v>300</v>
      </c>
      <c r="G165" s="24">
        <f>Прайс!E123</f>
        <v/>
      </c>
      <c r="H165" s="25">
        <f>ROUND(F165*G165,0)</f>
        <v/>
      </c>
      <c r="I165" s="26" t="n">
        <v>0</v>
      </c>
      <c r="J165" s="27">
        <f>ROUND(H165*(1-I165),0)</f>
        <v/>
      </c>
      <c r="K165" s="25">
        <f>ROUND(J165*Прайс!$B$5,0)</f>
        <v/>
      </c>
      <c r="L165" s="27">
        <f>J165+K165</f>
        <v/>
      </c>
      <c r="M165" s="8" t="n"/>
      <c r="N165" s="8" t="n"/>
      <c r="O165" s="22" t="n"/>
      <c r="P165" s="8" t="n"/>
    </row>
    <row r="166">
      <c r="A166" s="22" t="n"/>
      <c r="B166" s="22" t="n"/>
      <c r="C166" s="22" t="n"/>
      <c r="D166" s="8" t="inlineStr">
        <is>
          <t xml:space="preserve">   Доставка по Москве</t>
        </is>
      </c>
      <c r="E166" s="22" t="inlineStr">
        <is>
          <t>рейс</t>
        </is>
      </c>
      <c r="F166" s="23" t="n">
        <v>1</v>
      </c>
      <c r="G166" s="24">
        <f>Прайс!E124</f>
        <v/>
      </c>
      <c r="H166" s="25">
        <f>ROUND(F166*G166,0)</f>
        <v/>
      </c>
      <c r="I166" s="26" t="n">
        <v>0</v>
      </c>
      <c r="J166" s="27">
        <f>ROUND(H166*(1-I166),0)</f>
        <v/>
      </c>
      <c r="K166" s="25">
        <f>ROUND(J166*Прайс!$B$5,0)</f>
        <v/>
      </c>
      <c r="L166" s="27">
        <f>J166+K166</f>
        <v/>
      </c>
      <c r="M166" s="8" t="n"/>
      <c r="N166" s="8" t="n"/>
      <c r="O166" s="22" t="n"/>
      <c r="P166" s="8" t="inlineStr">
        <is>
          <t>до Автозаводской, 18</t>
        </is>
      </c>
    </row>
    <row r="167">
      <c r="A167" s="15" t="n">
        <v>20</v>
      </c>
      <c r="B167" s="16" t="inlineStr">
        <is>
          <t>Шоколад</t>
        </is>
      </c>
      <c r="C167" s="17" t="inlineStr">
        <is>
          <t>Времена Года, Венеция</t>
        </is>
      </c>
      <c r="D167" s="18" t="inlineStr">
        <is>
          <t>Позиция ТЗ</t>
        </is>
      </c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>
        <f>"Аванс "&amp;TEXT(Прайс!$B$7,"0%")&amp;", остаток "&amp;TEXT(1-Прайс!$B$7,"0%")&amp;" после акта"</f>
        <v/>
      </c>
      <c r="O167" s="17">
        <f>Прайс!$B$10&amp;" мес."</f>
        <v/>
      </c>
      <c r="P167" s="17" t="inlineStr">
        <is>
          <t>Минимальная партия 100 шт. Декларации производителя передаем с поставкой. Хранение при +15...+18 °C. Доставка по Москве 6 500 ₽ за рейс.</t>
        </is>
      </c>
    </row>
    <row r="168">
      <c r="A168" s="19" t="n"/>
      <c r="B168" s="19" t="n"/>
      <c r="C168" s="19" t="n"/>
      <c r="D168" s="20" t="inlineStr">
        <is>
          <t>(1) Плитка 50 г в обертке с логотипом, партии 200 и 1 000 шт.</t>
        </is>
      </c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inlineStr">
        <is>
          <t>10 р.д. после утверждения макета, срок годности 9 мес.</t>
        </is>
      </c>
      <c r="N168" s="19" t="n"/>
      <c r="O168" s="19" t="n"/>
      <c r="P168" s="19" t="n"/>
    </row>
    <row r="169">
      <c r="A169" s="22" t="n"/>
      <c r="B169" s="22" t="n"/>
      <c r="C169" s="22" t="n"/>
      <c r="D169" s="8" t="inlineStr">
        <is>
          <t xml:space="preserve">   Плитка шоколада 50 г, индивидуальная обертка с логотипом, партия 200</t>
        </is>
      </c>
      <c r="E169" s="22" t="inlineStr">
        <is>
          <t>шт.</t>
        </is>
      </c>
      <c r="F169" s="23" t="n">
        <v>200</v>
      </c>
      <c r="G169" s="24">
        <f>Прайс!E125</f>
        <v/>
      </c>
      <c r="H169" s="25">
        <f>ROUND(F169*G169,0)</f>
        <v/>
      </c>
      <c r="I169" s="26" t="n">
        <v>0</v>
      </c>
      <c r="J169" s="27">
        <f>ROUND(H169*(1-I169),0)</f>
        <v/>
      </c>
      <c r="K169" s="25">
        <f>ROUND(J169*Прайс!$B$5,0)</f>
        <v/>
      </c>
      <c r="L169" s="27">
        <f>J169+K169</f>
        <v/>
      </c>
      <c r="M169" s="8" t="n"/>
      <c r="N169" s="8" t="n"/>
      <c r="O169" s="22" t="n"/>
      <c r="P169" s="8" t="n"/>
    </row>
    <row r="170">
      <c r="A170" s="22" t="n"/>
      <c r="B170" s="22" t="n"/>
      <c r="C170" s="22" t="n"/>
      <c r="D170" s="8" t="inlineStr">
        <is>
          <t xml:space="preserve">   Плитка шоколада 50 г, индивидуальная обертка с логотипом, партия 1 000</t>
        </is>
      </c>
      <c r="E170" s="22" t="inlineStr">
        <is>
          <t>шт.</t>
        </is>
      </c>
      <c r="F170" s="23" t="n">
        <v>1000</v>
      </c>
      <c r="G170" s="24">
        <f>Прайс!E126</f>
        <v/>
      </c>
      <c r="H170" s="25">
        <f>ROUND(F170*G170,0)</f>
        <v/>
      </c>
      <c r="I170" s="26" t="n">
        <v>0</v>
      </c>
      <c r="J170" s="27">
        <f>ROUND(H170*(1-I170),0)</f>
        <v/>
      </c>
      <c r="K170" s="25">
        <f>ROUND(J170*Прайс!$B$5,0)</f>
        <v/>
      </c>
      <c r="L170" s="27">
        <f>J170+K170</f>
        <v/>
      </c>
      <c r="M170" s="8" t="n"/>
      <c r="N170" s="8" t="n"/>
      <c r="O170" s="22" t="n"/>
      <c r="P170" s="8" t="n"/>
    </row>
    <row r="171">
      <c r="A171" s="19" t="n"/>
      <c r="B171" s="19" t="n"/>
      <c r="C171" s="19" t="n"/>
      <c r="D171" s="20" t="inlineStr">
        <is>
          <t>(2) Набор 9 конфет в брендированной коробке, партии 200 и 1 000 шт.</t>
        </is>
      </c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inlineStr">
        <is>
          <t>15 р.д. после утверждения макета, срок годности 4 мес.</t>
        </is>
      </c>
      <c r="N171" s="19" t="n"/>
      <c r="O171" s="19" t="n"/>
      <c r="P171" s="19" t="n"/>
    </row>
    <row r="172">
      <c r="A172" s="22" t="n"/>
      <c r="B172" s="22" t="n"/>
      <c r="C172" s="22" t="n"/>
      <c r="D172" s="8" t="inlineStr">
        <is>
          <t xml:space="preserve">   Набор 9 конфет в брендированной коробке, партия 200</t>
        </is>
      </c>
      <c r="E172" s="22" t="inlineStr">
        <is>
          <t>шт.</t>
        </is>
      </c>
      <c r="F172" s="23" t="n">
        <v>200</v>
      </c>
      <c r="G172" s="24">
        <f>Прайс!E127</f>
        <v/>
      </c>
      <c r="H172" s="25">
        <f>ROUND(F172*G172,0)</f>
        <v/>
      </c>
      <c r="I172" s="26" t="n">
        <v>0</v>
      </c>
      <c r="J172" s="27">
        <f>ROUND(H172*(1-I172),0)</f>
        <v/>
      </c>
      <c r="K172" s="25">
        <f>ROUND(J172*Прайс!$B$5,0)</f>
        <v/>
      </c>
      <c r="L172" s="27">
        <f>J172+K172</f>
        <v/>
      </c>
      <c r="M172" s="8" t="n"/>
      <c r="N172" s="8" t="n"/>
      <c r="O172" s="22" t="n"/>
      <c r="P172" s="8" t="n"/>
    </row>
    <row r="173">
      <c r="A173" s="22" t="n"/>
      <c r="B173" s="22" t="n"/>
      <c r="C173" s="22" t="n"/>
      <c r="D173" s="8" t="inlineStr">
        <is>
          <t xml:space="preserve">   Набор 9 конфет в брендированной коробке, партия 1 000</t>
        </is>
      </c>
      <c r="E173" s="22" t="inlineStr">
        <is>
          <t>шт.</t>
        </is>
      </c>
      <c r="F173" s="23" t="n">
        <v>1000</v>
      </c>
      <c r="G173" s="24">
        <f>Прайс!E128</f>
        <v/>
      </c>
      <c r="H173" s="25">
        <f>ROUND(F173*G173,0)</f>
        <v/>
      </c>
      <c r="I173" s="26" t="n">
        <v>0</v>
      </c>
      <c r="J173" s="27">
        <f>ROUND(H173*(1-I173),0)</f>
        <v/>
      </c>
      <c r="K173" s="25">
        <f>ROUND(J173*Прайс!$B$5,0)</f>
        <v/>
      </c>
      <c r="L173" s="27">
        <f>J173+K173</f>
        <v/>
      </c>
      <c r="M173" s="8" t="n"/>
      <c r="N173" s="8" t="n"/>
      <c r="O173" s="22" t="n"/>
      <c r="P173" s="8" t="n"/>
    </row>
    <row r="174">
      <c r="A174" s="19" t="n"/>
      <c r="B174" s="19" t="n"/>
      <c r="C174" s="19" t="n"/>
      <c r="D174" s="20" t="inlineStr">
        <is>
          <t>Дегустационный набор</t>
        </is>
      </c>
      <c r="E174" s="19" t="inlineStr">
        <is>
          <t>компл.</t>
        </is>
      </c>
      <c r="F174" s="31" t="n">
        <v>1</v>
      </c>
      <c r="G174" s="32">
        <f>Прайс!E129</f>
        <v/>
      </c>
      <c r="H174" s="33">
        <f>ROUND(F174*G174,0)</f>
        <v/>
      </c>
      <c r="I174" s="34" t="n">
        <v>0</v>
      </c>
      <c r="J174" s="35">
        <f>ROUND(H174*(1-I174),0)</f>
        <v/>
      </c>
      <c r="K174" s="33">
        <f>ROUND(J174*Прайс!$B$5,0)</f>
        <v/>
      </c>
      <c r="L174" s="35">
        <f>J174+K174</f>
        <v/>
      </c>
      <c r="M174" s="19" t="inlineStr">
        <is>
          <t>5 р.д.</t>
        </is>
      </c>
      <c r="N174" s="19" t="n"/>
      <c r="O174" s="19" t="n"/>
      <c r="P174" s="19" t="n"/>
    </row>
    <row r="175">
      <c r="A175" s="15" t="n">
        <v>21</v>
      </c>
      <c r="B175" s="16" t="inlineStr">
        <is>
          <t>Форма для сотрудников</t>
        </is>
      </c>
      <c r="C175" s="17" t="inlineStr">
        <is>
          <t>Времена Года, Венеция</t>
        </is>
      </c>
      <c r="D175" s="18" t="inlineStr">
        <is>
          <t>Позиция ТЗ</t>
        </is>
      </c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>
        <f>"Аванс "&amp;TEXT(Прайс!$B$7,"0%")&amp;", остаток "&amp;TEXT(1-Прайс!$B$7,"0%")&amp;" после акта"</f>
        <v/>
      </c>
      <c r="O175" s="17">
        <f>Прайс!$B$10&amp;" мес."</f>
        <v/>
      </c>
      <c r="P175" s="17" t="inlineStr">
        <is>
          <t>Индивидуальные мерки по запросу. Ткань и цвет утверждаем на образце. Гарантия 6 месяцев на швы и фурнитуру.</t>
        </is>
      </c>
    </row>
    <row r="176">
      <c r="A176" s="19" t="n"/>
      <c r="B176" s="19" t="n"/>
      <c r="C176" s="19" t="n"/>
      <c r="D176" s="20" t="inlineStr">
        <is>
          <t>Комплект на 30 сотрудников, размеры 42-58: поло, брюки, жилет, вышивка</t>
        </is>
      </c>
      <c r="E176" s="9" t="inlineStr">
        <is>
          <t>итого</t>
        </is>
      </c>
      <c r="F176" s="19" t="n"/>
      <c r="G176" s="19" t="n"/>
      <c r="H176" s="21">
        <f>SUM(H177:H180)</f>
        <v/>
      </c>
      <c r="I176" s="19" t="n"/>
      <c r="J176" s="21">
        <f>SUM(J177:J180)</f>
        <v/>
      </c>
      <c r="K176" s="21">
        <f>SUM(K177:K180)</f>
        <v/>
      </c>
      <c r="L176" s="21">
        <f>SUM(L177:L180)</f>
        <v/>
      </c>
      <c r="M176" s="19" t="inlineStr">
        <is>
          <t>25 р.д. после утверждения образца</t>
        </is>
      </c>
      <c r="N176" s="19" t="n"/>
      <c r="O176" s="19" t="n"/>
      <c r="P176" s="19" t="n"/>
    </row>
    <row r="177">
      <c r="A177" s="22" t="n"/>
      <c r="B177" s="22" t="n"/>
      <c r="C177" s="22" t="n"/>
      <c r="D177" s="8" t="inlineStr">
        <is>
          <t xml:space="preserve">   Поло или рубашка, хлопок с эластаном</t>
        </is>
      </c>
      <c r="E177" s="22" t="inlineStr">
        <is>
          <t>шт.</t>
        </is>
      </c>
      <c r="F177" s="23" t="n">
        <v>30</v>
      </c>
      <c r="G177" s="24">
        <f>Прайс!E131</f>
        <v/>
      </c>
      <c r="H177" s="25">
        <f>ROUND(F177*G177,0)</f>
        <v/>
      </c>
      <c r="I177" s="26" t="n">
        <v>0</v>
      </c>
      <c r="J177" s="27">
        <f>ROUND(H177*(1-I177),0)</f>
        <v/>
      </c>
      <c r="K177" s="25">
        <f>ROUND(J177*Прайс!$B$5,0)</f>
        <v/>
      </c>
      <c r="L177" s="27">
        <f>J177+K177</f>
        <v/>
      </c>
      <c r="M177" s="8" t="n"/>
      <c r="N177" s="8" t="n"/>
      <c r="O177" s="22" t="n"/>
      <c r="P177" s="8" t="n"/>
    </row>
    <row r="178">
      <c r="A178" s="22" t="n"/>
      <c r="B178" s="22" t="n"/>
      <c r="C178" s="22" t="n"/>
      <c r="D178" s="8" t="inlineStr">
        <is>
          <t xml:space="preserve">   Брюки, костюмная ткань</t>
        </is>
      </c>
      <c r="E178" s="22" t="inlineStr">
        <is>
          <t>шт.</t>
        </is>
      </c>
      <c r="F178" s="23" t="n">
        <v>30</v>
      </c>
      <c r="G178" s="24">
        <f>Прайс!E132</f>
        <v/>
      </c>
      <c r="H178" s="25">
        <f>ROUND(F178*G178,0)</f>
        <v/>
      </c>
      <c r="I178" s="26" t="n">
        <v>0</v>
      </c>
      <c r="J178" s="27">
        <f>ROUND(H178*(1-I178),0)</f>
        <v/>
      </c>
      <c r="K178" s="25">
        <f>ROUND(J178*Прайс!$B$5,0)</f>
        <v/>
      </c>
      <c r="L178" s="27">
        <f>J178+K178</f>
        <v/>
      </c>
      <c r="M178" s="8" t="n"/>
      <c r="N178" s="8" t="n"/>
      <c r="O178" s="22" t="n"/>
      <c r="P178" s="8" t="n"/>
    </row>
    <row r="179">
      <c r="A179" s="22" t="n"/>
      <c r="B179" s="22" t="n"/>
      <c r="C179" s="22" t="n"/>
      <c r="D179" s="8" t="inlineStr">
        <is>
          <t xml:space="preserve">   Жилет, костюмная ткань, подкладка</t>
        </is>
      </c>
      <c r="E179" s="22" t="inlineStr">
        <is>
          <t>шт.</t>
        </is>
      </c>
      <c r="F179" s="23" t="n">
        <v>30</v>
      </c>
      <c r="G179" s="24">
        <f>Прайс!E133</f>
        <v/>
      </c>
      <c r="H179" s="25">
        <f>ROUND(F179*G179,0)</f>
        <v/>
      </c>
      <c r="I179" s="26" t="n">
        <v>0</v>
      </c>
      <c r="J179" s="27">
        <f>ROUND(H179*(1-I179),0)</f>
        <v/>
      </c>
      <c r="K179" s="25">
        <f>ROUND(J179*Прайс!$B$5,0)</f>
        <v/>
      </c>
      <c r="L179" s="27">
        <f>J179+K179</f>
        <v/>
      </c>
      <c r="M179" s="8" t="n"/>
      <c r="N179" s="8" t="n"/>
      <c r="O179" s="22" t="n"/>
      <c r="P179" s="8" t="n"/>
    </row>
    <row r="180">
      <c r="A180" s="22" t="n"/>
      <c r="B180" s="22" t="n"/>
      <c r="C180" s="22" t="n"/>
      <c r="D180" s="8" t="inlineStr">
        <is>
          <t xml:space="preserve">   Вышивка логотипа на груди</t>
        </is>
      </c>
      <c r="E180" s="22" t="inlineStr">
        <is>
          <t>шт.</t>
        </is>
      </c>
      <c r="F180" s="23" t="n">
        <v>60</v>
      </c>
      <c r="G180" s="24">
        <f>Прайс!E134</f>
        <v/>
      </c>
      <c r="H180" s="25">
        <f>ROUND(F180*G180,0)</f>
        <v/>
      </c>
      <c r="I180" s="26" t="n">
        <v>0</v>
      </c>
      <c r="J180" s="27">
        <f>ROUND(H180*(1-I180),0)</f>
        <v/>
      </c>
      <c r="K180" s="25">
        <f>ROUND(J180*Прайс!$B$5,0)</f>
        <v/>
      </c>
      <c r="L180" s="27">
        <f>J180+K180</f>
        <v/>
      </c>
      <c r="M180" s="8" t="n"/>
      <c r="N180" s="8" t="n"/>
      <c r="O180" s="22" t="n"/>
      <c r="P180" s="8" t="inlineStr">
        <is>
          <t>поло и жилет</t>
        </is>
      </c>
    </row>
    <row r="181">
      <c r="A181" s="19" t="n"/>
      <c r="B181" s="19" t="n"/>
      <c r="C181" s="19" t="n"/>
      <c r="D181" s="20" t="inlineStr">
        <is>
          <t>Образец комплекта</t>
        </is>
      </c>
      <c r="E181" s="19" t="inlineStr">
        <is>
          <t>компл.</t>
        </is>
      </c>
      <c r="F181" s="31" t="n">
        <v>1</v>
      </c>
      <c r="G181" s="32">
        <f>Прайс!E135</f>
        <v/>
      </c>
      <c r="H181" s="33">
        <f>ROUND(F181*G181,0)</f>
        <v/>
      </c>
      <c r="I181" s="34" t="n">
        <v>0</v>
      </c>
      <c r="J181" s="35">
        <f>ROUND(H181*(1-I181),0)</f>
        <v/>
      </c>
      <c r="K181" s="33">
        <f>ROUND(J181*Прайс!$B$5,0)</f>
        <v/>
      </c>
      <c r="L181" s="35">
        <f>J181+K181</f>
        <v/>
      </c>
      <c r="M181" s="19" t="inlineStr">
        <is>
          <t>10 р.д.</t>
        </is>
      </c>
      <c r="N181" s="19" t="n"/>
      <c r="O181" s="19" t="n"/>
      <c r="P181" s="19" t="n"/>
    </row>
    <row r="182">
      <c r="A182" s="19" t="n"/>
      <c r="B182" s="19" t="n"/>
      <c r="C182" s="19" t="n"/>
      <c r="D182" s="20" t="inlineStr">
        <is>
          <t>Дошив 1-5 комплектов в течение года</t>
        </is>
      </c>
      <c r="E182" s="19" t="inlineStr">
        <is>
          <t>компл.</t>
        </is>
      </c>
      <c r="F182" s="31" t="n">
        <v>1</v>
      </c>
      <c r="G182" s="32">
        <f>Прайс!E136</f>
        <v/>
      </c>
      <c r="H182" s="33">
        <f>ROUND(F182*G182,0)</f>
        <v/>
      </c>
      <c r="I182" s="34" t="n">
        <v>0</v>
      </c>
      <c r="J182" s="35">
        <f>ROUND(H182*(1-I182),0)</f>
        <v/>
      </c>
      <c r="K182" s="33">
        <f>ROUND(J182*Прайс!$B$5,0)</f>
        <v/>
      </c>
      <c r="L182" s="35">
        <f>J182+K182</f>
        <v/>
      </c>
      <c r="M182" s="19" t="inlineStr">
        <is>
          <t>15 р.д.</t>
        </is>
      </c>
      <c r="N182" s="19" t="n"/>
      <c r="O182" s="19" t="n"/>
      <c r="P182" s="19" t="n"/>
    </row>
    <row r="183">
      <c r="A183" s="15" t="n">
        <v>22</v>
      </c>
      <c r="B183" s="16" t="inlineStr">
        <is>
          <t>Агентство по организации мероприятий</t>
        </is>
      </c>
      <c r="C183" s="17" t="inlineStr">
        <is>
          <t>Времена Года, ЦДМ, Венеция</t>
        </is>
      </c>
      <c r="D183" s="18" t="inlineStr">
        <is>
          <t>Позиция ТЗ</t>
        </is>
      </c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>
        <f>"Аванс "&amp;TEXT(Прайс!$B$7,"0%")&amp;", остаток "&amp;TEXT(1-Прайс!$B$7,"0%")&amp;" после акта"</f>
        <v/>
      </c>
      <c r="O183" s="17">
        <f>Прайс!$B$10&amp;" мес."</f>
        <v/>
      </c>
      <c r="P183" s="17" t="inlineStr">
        <is>
          <t>Концепция бесплатно. Выделенный менеджер на проект. Агентская комиссия указана отдельной строкой. Минимальный срок подготовки: 40 гостей 10 р.д., 100 гостей 15 р.д.</t>
        </is>
      </c>
    </row>
    <row r="184">
      <c r="A184" s="19" t="n"/>
      <c r="B184" s="19" t="n"/>
      <c r="C184" s="19" t="n"/>
      <c r="D184" s="20" t="inlineStr">
        <is>
          <t>Пресс-завтрак к открытию сезона: 40 гостей, 2,5 ч, атриум, будний день</t>
        </is>
      </c>
      <c r="E184" s="9" t="inlineStr">
        <is>
          <t>итого</t>
        </is>
      </c>
      <c r="F184" s="19" t="n"/>
      <c r="G184" s="19" t="n"/>
      <c r="H184" s="21">
        <f>SUM(H185:H193)</f>
        <v/>
      </c>
      <c r="I184" s="19" t="n"/>
      <c r="J184" s="21">
        <f>SUM(J185:J193)</f>
        <v/>
      </c>
      <c r="K184" s="21">
        <f>SUM(K185:K193)</f>
        <v/>
      </c>
      <c r="L184" s="21">
        <f>SUM(L185:L193)</f>
        <v/>
      </c>
      <c r="M184" s="19" t="inlineStr">
        <is>
          <t>10 р.д. от утверждения концепции</t>
        </is>
      </c>
      <c r="N184" s="19" t="n"/>
      <c r="O184" s="19" t="n"/>
      <c r="P184" s="19" t="n"/>
    </row>
    <row r="185">
      <c r="A185" s="22" t="n"/>
      <c r="B185" s="22" t="n"/>
      <c r="C185" s="22" t="n"/>
      <c r="D185" s="8" t="inlineStr">
        <is>
          <t xml:space="preserve">   Декор зоны пресс-завтрака</t>
        </is>
      </c>
      <c r="E185" s="22" t="inlineStr">
        <is>
          <t>компл.</t>
        </is>
      </c>
      <c r="F185" s="23" t="n">
        <v>1</v>
      </c>
      <c r="G185" s="24">
        <f>Прайс!E137</f>
        <v/>
      </c>
      <c r="H185" s="25">
        <f>ROUND(F185*G185,0)</f>
        <v/>
      </c>
      <c r="I185" s="26" t="n">
        <v>0</v>
      </c>
      <c r="J185" s="27">
        <f>ROUND(H185*(1-I185),0)</f>
        <v/>
      </c>
      <c r="K185" s="25">
        <f>ROUND(J185*Прайс!$B$5,0)</f>
        <v/>
      </c>
      <c r="L185" s="27">
        <f>J185+K185</f>
        <v/>
      </c>
      <c r="M185" s="8" t="n"/>
      <c r="N185" s="8" t="n"/>
      <c r="O185" s="22" t="n"/>
      <c r="P185" s="8" t="n"/>
    </row>
    <row r="186">
      <c r="A186" s="22" t="n"/>
      <c r="B186" s="22" t="n"/>
      <c r="C186" s="22" t="n"/>
      <c r="D186" s="8" t="inlineStr">
        <is>
          <t xml:space="preserve">   Кейтеринг: завтрак-фуршет, кофе-брейк, посуда, официанты</t>
        </is>
      </c>
      <c r="E186" s="22" t="inlineStr">
        <is>
          <t>гость</t>
        </is>
      </c>
      <c r="F186" s="23" t="n">
        <v>40</v>
      </c>
      <c r="G186" s="24">
        <f>Прайс!E138</f>
        <v/>
      </c>
      <c r="H186" s="25">
        <f>ROUND(F186*G186,0)</f>
        <v/>
      </c>
      <c r="I186" s="26" t="n">
        <v>0</v>
      </c>
      <c r="J186" s="27">
        <f>ROUND(H186*(1-I186),0)</f>
        <v/>
      </c>
      <c r="K186" s="25">
        <f>ROUND(J186*Прайс!$B$5,0)</f>
        <v/>
      </c>
      <c r="L186" s="27">
        <f>J186+K186</f>
        <v/>
      </c>
      <c r="M186" s="8" t="n"/>
      <c r="N186" s="8" t="n"/>
      <c r="O186" s="22" t="n"/>
      <c r="P186" s="8" t="n"/>
    </row>
    <row r="187">
      <c r="A187" s="22" t="n"/>
      <c r="B187" s="22" t="n"/>
      <c r="C187" s="22" t="n"/>
      <c r="D187" s="8" t="inlineStr">
        <is>
          <t xml:space="preserve">   Звук: акустика, 2 радиомикрофона, техник</t>
        </is>
      </c>
      <c r="E187" s="22" t="inlineStr">
        <is>
          <t>компл.</t>
        </is>
      </c>
      <c r="F187" s="23" t="n">
        <v>1</v>
      </c>
      <c r="G187" s="24">
        <f>Прайс!E139</f>
        <v/>
      </c>
      <c r="H187" s="25">
        <f>ROUND(F187*G187,0)</f>
        <v/>
      </c>
      <c r="I187" s="26" t="n">
        <v>0</v>
      </c>
      <c r="J187" s="27">
        <f>ROUND(H187*(1-I187),0)</f>
        <v/>
      </c>
      <c r="K187" s="25">
        <f>ROUND(J187*Прайс!$B$5,0)</f>
        <v/>
      </c>
      <c r="L187" s="27">
        <f>J187+K187</f>
        <v/>
      </c>
      <c r="M187" s="8" t="n"/>
      <c r="N187" s="8" t="n"/>
      <c r="O187" s="22" t="n"/>
      <c r="P187" s="8" t="n"/>
    </row>
    <row r="188">
      <c r="A188" s="22" t="n"/>
      <c r="B188" s="22" t="n"/>
      <c r="C188" s="22" t="n"/>
      <c r="D188" s="8" t="inlineStr">
        <is>
          <t xml:space="preserve">   Ведущий</t>
        </is>
      </c>
      <c r="E188" s="22" t="inlineStr">
        <is>
          <t>мероприятие</t>
        </is>
      </c>
      <c r="F188" s="23" t="n">
        <v>1</v>
      </c>
      <c r="G188" s="24">
        <f>Прайс!E140</f>
        <v/>
      </c>
      <c r="H188" s="25">
        <f>ROUND(F188*G188,0)</f>
        <v/>
      </c>
      <c r="I188" s="26" t="n">
        <v>0</v>
      </c>
      <c r="J188" s="27">
        <f>ROUND(H188*(1-I188),0)</f>
        <v/>
      </c>
      <c r="K188" s="25">
        <f>ROUND(J188*Прайс!$B$5,0)</f>
        <v/>
      </c>
      <c r="L188" s="27">
        <f>J188+K188</f>
        <v/>
      </c>
      <c r="M188" s="8" t="n"/>
      <c r="N188" s="8" t="n"/>
      <c r="O188" s="22" t="n"/>
      <c r="P188" s="8" t="n"/>
    </row>
    <row r="189">
      <c r="A189" s="22" t="n"/>
      <c r="B189" s="22" t="n"/>
      <c r="C189" s="22" t="n"/>
      <c r="D189" s="8" t="inlineStr">
        <is>
          <t xml:space="preserve">   Фотосъемка, 3 ч</t>
        </is>
      </c>
      <c r="E189" s="22" t="inlineStr">
        <is>
          <t>компл.</t>
        </is>
      </c>
      <c r="F189" s="23" t="n">
        <v>1</v>
      </c>
      <c r="G189" s="24">
        <f>Прайс!E141</f>
        <v/>
      </c>
      <c r="H189" s="25">
        <f>ROUND(F189*G189,0)</f>
        <v/>
      </c>
      <c r="I189" s="26" t="n">
        <v>0</v>
      </c>
      <c r="J189" s="27">
        <f>ROUND(H189*(1-I189),0)</f>
        <v/>
      </c>
      <c r="K189" s="25">
        <f>ROUND(J189*Прайс!$B$5,0)</f>
        <v/>
      </c>
      <c r="L189" s="27">
        <f>J189+K189</f>
        <v/>
      </c>
      <c r="M189" s="8" t="n"/>
      <c r="N189" s="8" t="n"/>
      <c r="O189" s="22" t="n"/>
      <c r="P189" s="8" t="n"/>
    </row>
    <row r="190">
      <c r="A190" s="22" t="n"/>
      <c r="B190" s="22" t="n"/>
      <c r="C190" s="22" t="n"/>
      <c r="D190" s="8" t="inlineStr">
        <is>
          <t xml:space="preserve">   Видеосъемка и отчетный ролик</t>
        </is>
      </c>
      <c r="E190" s="22" t="inlineStr">
        <is>
          <t>компл.</t>
        </is>
      </c>
      <c r="F190" s="23" t="n">
        <v>1</v>
      </c>
      <c r="G190" s="24">
        <f>Прайс!E142</f>
        <v/>
      </c>
      <c r="H190" s="25">
        <f>ROUND(F190*G190,0)</f>
        <v/>
      </c>
      <c r="I190" s="26" t="n">
        <v>0</v>
      </c>
      <c r="J190" s="27">
        <f>ROUND(H190*(1-I190),0)</f>
        <v/>
      </c>
      <c r="K190" s="25">
        <f>ROUND(J190*Прайс!$B$5,0)</f>
        <v/>
      </c>
      <c r="L190" s="27">
        <f>J190+K190</f>
        <v/>
      </c>
      <c r="M190" s="8" t="n"/>
      <c r="N190" s="8" t="n"/>
      <c r="O190" s="22" t="n"/>
      <c r="P190" s="8" t="n"/>
    </row>
    <row r="191">
      <c r="A191" s="22" t="n"/>
      <c r="B191" s="22" t="n"/>
      <c r="C191" s="22" t="n"/>
      <c r="D191" s="8" t="inlineStr">
        <is>
          <t xml:space="preserve">   Welcome-подарок гостю</t>
        </is>
      </c>
      <c r="E191" s="22" t="inlineStr">
        <is>
          <t>шт.</t>
        </is>
      </c>
      <c r="F191" s="23" t="n">
        <v>40</v>
      </c>
      <c r="G191" s="24">
        <f>Прайс!E143</f>
        <v/>
      </c>
      <c r="H191" s="25">
        <f>ROUND(F191*G191,0)</f>
        <v/>
      </c>
      <c r="I191" s="26" t="n">
        <v>0</v>
      </c>
      <c r="J191" s="27">
        <f>ROUND(H191*(1-I191),0)</f>
        <v/>
      </c>
      <c r="K191" s="25">
        <f>ROUND(J191*Прайс!$B$5,0)</f>
        <v/>
      </c>
      <c r="L191" s="27">
        <f>J191+K191</f>
        <v/>
      </c>
      <c r="M191" s="8" t="n"/>
      <c r="N191" s="8" t="n"/>
      <c r="O191" s="22" t="n"/>
      <c r="P191" s="8" t="n"/>
    </row>
    <row r="192">
      <c r="A192" s="22" t="n"/>
      <c r="B192" s="22" t="n"/>
      <c r="C192" s="22" t="n"/>
      <c r="D192" s="8" t="inlineStr">
        <is>
          <t xml:space="preserve">   Персонал и координация на площадке</t>
        </is>
      </c>
      <c r="E192" s="22" t="inlineStr">
        <is>
          <t>компл.</t>
        </is>
      </c>
      <c r="F192" s="23" t="n">
        <v>1</v>
      </c>
      <c r="G192" s="24">
        <f>Прайс!E144</f>
        <v/>
      </c>
      <c r="H192" s="25">
        <f>ROUND(F192*G192,0)</f>
        <v/>
      </c>
      <c r="I192" s="26" t="n">
        <v>0</v>
      </c>
      <c r="J192" s="27">
        <f>ROUND(H192*(1-I192),0)</f>
        <v/>
      </c>
      <c r="K192" s="25">
        <f>ROUND(J192*Прайс!$B$5,0)</f>
        <v/>
      </c>
      <c r="L192" s="27">
        <f>J192+K192</f>
        <v/>
      </c>
      <c r="M192" s="8" t="n"/>
      <c r="N192" s="8" t="n"/>
      <c r="O192" s="22" t="n"/>
      <c r="P192" s="8" t="n"/>
    </row>
    <row r="193">
      <c r="A193" s="29" t="n"/>
      <c r="B193" s="29" t="n"/>
      <c r="C193" s="29" t="n"/>
      <c r="D193" s="19" t="inlineStr">
        <is>
          <t xml:space="preserve">   Агентская комиссия</t>
        </is>
      </c>
      <c r="E193" s="29" t="inlineStr">
        <is>
          <t>%</t>
        </is>
      </c>
      <c r="F193" s="26">
        <f>Прайс!$B$14</f>
        <v/>
      </c>
      <c r="G193" s="37">
        <f>SUM(H185:H192)</f>
        <v/>
      </c>
      <c r="H193" s="37">
        <f>ROUND(F193*G193,0)</f>
        <v/>
      </c>
      <c r="I193" s="26">
        <f>Прайс!$B$6</f>
        <v/>
      </c>
      <c r="J193" s="27">
        <f>ROUND(H193*(1-I193),0)</f>
        <v/>
      </c>
      <c r="K193" s="37">
        <f>ROUND(J193*Прайс!$B$5,0)</f>
        <v/>
      </c>
      <c r="L193" s="27">
        <f>J193+K193</f>
        <v/>
      </c>
      <c r="M193" s="29" t="n"/>
      <c r="N193" s="29" t="n"/>
      <c r="O193" s="29" t="n"/>
      <c r="P193" s="19" t="inlineStr">
        <is>
          <t>От суммы сметы, указана отдельно по запросу ТЗ</t>
        </is>
      </c>
    </row>
    <row r="194">
      <c r="A194" s="15" t="n">
        <v>23</v>
      </c>
      <c r="B194" s="16" t="inlineStr">
        <is>
          <t>Декорирование, флористика</t>
        </is>
      </c>
      <c r="C194" s="17" t="inlineStr">
        <is>
          <t>Времена Года, ЦДМ, Венеция</t>
        </is>
      </c>
      <c r="D194" s="18" t="inlineStr">
        <is>
          <t>Позиция ТЗ</t>
        </is>
      </c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>
        <f>"Аванс "&amp;TEXT(Прайс!$B$7,"0%")&amp;", остаток "&amp;TEXT(1-Прайс!$B$7,"0%")&amp;" после акта"</f>
        <v/>
      </c>
      <c r="O194" s="17">
        <f>Прайс!$B$10&amp;" мес."</f>
        <v/>
      </c>
      <c r="P194" s="17" t="inlineStr">
        <is>
          <t>Производство атриума считаем по утвержденному эскизу: размеры, материалы и свет задают смету. Эскиз или 3D-визуализация до старта производства. Материалы с сертификатами пожарной безопасности. Монтаж и демонтаж своими силами, ночью.</t>
        </is>
      </c>
    </row>
    <row r="195">
      <c r="A195" s="19" t="n"/>
      <c r="B195" s="19" t="n"/>
      <c r="C195" s="19" t="n"/>
      <c r="D195" s="20" t="inlineStr">
        <is>
          <t>(1а) Эскиз и 3D-визуализация оформления атриума</t>
        </is>
      </c>
      <c r="E195" s="19" t="inlineStr">
        <is>
          <t>компл.</t>
        </is>
      </c>
      <c r="F195" s="31" t="n">
        <v>1</v>
      </c>
      <c r="G195" s="32">
        <f>Прайс!E145</f>
        <v/>
      </c>
      <c r="H195" s="33">
        <f>ROUND(F195*G195,0)</f>
        <v/>
      </c>
      <c r="I195" s="34">
        <f>Прайс!$B$6</f>
        <v/>
      </c>
      <c r="J195" s="35">
        <f>ROUND(H195*(1-I195),0)</f>
        <v/>
      </c>
      <c r="K195" s="33">
        <f>ROUND(J195*Прайс!$B$5,0)</f>
        <v/>
      </c>
      <c r="L195" s="35">
        <f>J195+K195</f>
        <v/>
      </c>
      <c r="M195" s="19" t="inlineStr">
        <is>
          <t>5 р.д.</t>
        </is>
      </c>
      <c r="N195" s="19" t="n"/>
      <c r="O195" s="19" t="n"/>
      <c r="P195" s="19" t="n"/>
    </row>
    <row r="196">
      <c r="A196" s="19" t="n"/>
      <c r="B196" s="19" t="n"/>
      <c r="C196" s="19" t="n"/>
      <c r="D196" s="20" t="inlineStr">
        <is>
          <t>(1б) Производство и монтаж: композиция до 6 м + 4 фотозоны</t>
        </is>
      </c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inlineStr">
        <is>
          <t>Расчет за 3 р.д. после утверждения эскиза</t>
        </is>
      </c>
      <c r="N196" s="19" t="n"/>
      <c r="O196" s="19" t="n"/>
      <c r="P196" s="19" t="n"/>
    </row>
    <row r="197">
      <c r="A197" s="22" t="n"/>
      <c r="B197" s="22" t="n"/>
      <c r="C197" s="22" t="n"/>
      <c r="D197" s="8" t="inlineStr">
        <is>
          <t xml:space="preserve">   Центральная композиция высотой до 6 м, производство</t>
        </is>
      </c>
      <c r="E197" s="22" t="inlineStr">
        <is>
          <t>шт.</t>
        </is>
      </c>
      <c r="F197" s="23" t="n">
        <v>1</v>
      </c>
      <c r="G197" s="28" t="inlineStr">
        <is>
          <t>По запросу</t>
        </is>
      </c>
      <c r="H197" s="22" t="n"/>
      <c r="I197" s="29" t="n"/>
      <c r="J197" s="28" t="inlineStr">
        <is>
          <t>По запросу</t>
        </is>
      </c>
      <c r="K197" s="22" t="n"/>
      <c r="L197" s="28" t="inlineStr">
        <is>
          <t>По запросу</t>
        </is>
      </c>
      <c r="M197" s="8" t="n"/>
      <c r="N197" s="8" t="n"/>
      <c r="O197" s="22" t="n"/>
      <c r="P197" s="8" t="n"/>
    </row>
    <row r="198">
      <c r="A198" s="22" t="n"/>
      <c r="B198" s="22" t="n"/>
      <c r="C198" s="22" t="n"/>
      <c r="D198" s="8" t="inlineStr">
        <is>
          <t xml:space="preserve">   Малая фотозона, производство</t>
        </is>
      </c>
      <c r="E198" s="22" t="inlineStr">
        <is>
          <t>шт.</t>
        </is>
      </c>
      <c r="F198" s="23" t="n">
        <v>4</v>
      </c>
      <c r="G198" s="28" t="inlineStr">
        <is>
          <t>По запросу</t>
        </is>
      </c>
      <c r="H198" s="22" t="n"/>
      <c r="I198" s="29" t="n"/>
      <c r="J198" s="28" t="inlineStr">
        <is>
          <t>По запросу</t>
        </is>
      </c>
      <c r="K198" s="22" t="n"/>
      <c r="L198" s="28" t="inlineStr">
        <is>
          <t>По запросу</t>
        </is>
      </c>
      <c r="M198" s="8" t="n"/>
      <c r="N198" s="8" t="n"/>
      <c r="O198" s="22" t="n"/>
      <c r="P198" s="8" t="n"/>
    </row>
    <row r="199">
      <c r="A199" s="22" t="n"/>
      <c r="B199" s="22" t="n"/>
      <c r="C199" s="22" t="n"/>
      <c r="D199" s="8" t="inlineStr">
        <is>
          <t xml:space="preserve">   Монтаж и демонтаж в ночное время</t>
        </is>
      </c>
      <c r="E199" s="22" t="inlineStr">
        <is>
          <t>компл.</t>
        </is>
      </c>
      <c r="F199" s="23" t="n">
        <v>1</v>
      </c>
      <c r="G199" s="28" t="inlineStr">
        <is>
          <t>По запросу</t>
        </is>
      </c>
      <c r="H199" s="22" t="n"/>
      <c r="I199" s="29" t="n"/>
      <c r="J199" s="28" t="inlineStr">
        <is>
          <t>По запросу</t>
        </is>
      </c>
      <c r="K199" s="22" t="n"/>
      <c r="L199" s="28" t="inlineStr">
        <is>
          <t>По запросу</t>
        </is>
      </c>
      <c r="M199" s="8" t="n"/>
      <c r="N199" s="8" t="n"/>
      <c r="O199" s="22" t="n"/>
      <c r="P199" s="8" t="n"/>
    </row>
    <row r="200">
      <c r="A200" s="19" t="n"/>
      <c r="B200" s="19" t="n"/>
      <c r="C200" s="19" t="n"/>
      <c r="D200" s="20" t="inlineStr">
        <is>
          <t>Хранение между сезонами</t>
        </is>
      </c>
      <c r="E200" s="19" t="inlineStr">
        <is>
          <t>мес.</t>
        </is>
      </c>
      <c r="F200" s="31" t="n">
        <v>1</v>
      </c>
      <c r="G200" s="36" t="inlineStr">
        <is>
          <t>По запросу</t>
        </is>
      </c>
      <c r="H200" s="19" t="n"/>
      <c r="I200" s="19" t="n"/>
      <c r="J200" s="36" t="inlineStr">
        <is>
          <t>По запросу</t>
        </is>
      </c>
      <c r="K200" s="19" t="n"/>
      <c r="L200" s="36" t="inlineStr">
        <is>
          <t>По запросу</t>
        </is>
      </c>
      <c r="M200" s="19" t="inlineStr">
        <is>
          <t>По объему декора</t>
        </is>
      </c>
      <c r="N200" s="19" t="n"/>
      <c r="O200" s="19" t="n"/>
      <c r="P200" s="19" t="inlineStr">
        <is>
          <t>за месяц</t>
        </is>
      </c>
    </row>
    <row r="201">
      <c r="A201" s="19" t="n"/>
      <c r="B201" s="19" t="n"/>
      <c r="C201" s="19" t="n"/>
      <c r="D201" s="20" t="inlineStr">
        <is>
          <t>(2) Флористика мероприятия на 40 гостей: 5 столов и фотозона</t>
        </is>
      </c>
      <c r="E201" s="9" t="inlineStr">
        <is>
          <t>итого</t>
        </is>
      </c>
      <c r="F201" s="19" t="n"/>
      <c r="G201" s="19" t="n"/>
      <c r="H201" s="21">
        <f>SUM(H202:H204)</f>
        <v/>
      </c>
      <c r="I201" s="19" t="n"/>
      <c r="J201" s="21">
        <f>SUM(J202:J204)</f>
        <v/>
      </c>
      <c r="K201" s="21">
        <f>SUM(K202:K204)</f>
        <v/>
      </c>
      <c r="L201" s="21">
        <f>SUM(L202:L204)</f>
        <v/>
      </c>
      <c r="M201" s="19" t="inlineStr">
        <is>
          <t>Монтаж в день мероприятия</t>
        </is>
      </c>
      <c r="N201" s="19" t="n"/>
      <c r="O201" s="19" t="n"/>
      <c r="P201" s="19" t="n"/>
    </row>
    <row r="202">
      <c r="A202" s="22" t="n"/>
      <c r="B202" s="22" t="n"/>
      <c r="C202" s="22" t="n"/>
      <c r="D202" s="8" t="inlineStr">
        <is>
          <t xml:space="preserve">   Флористическая композиция на стол</t>
        </is>
      </c>
      <c r="E202" s="22" t="inlineStr">
        <is>
          <t>шт.</t>
        </is>
      </c>
      <c r="F202" s="23" t="n">
        <v>5</v>
      </c>
      <c r="G202" s="24">
        <f>Прайс!E150</f>
        <v/>
      </c>
      <c r="H202" s="25">
        <f>ROUND(F202*G202,0)</f>
        <v/>
      </c>
      <c r="I202" s="26" t="n">
        <v>0</v>
      </c>
      <c r="J202" s="27">
        <f>ROUND(H202*(1-I202),0)</f>
        <v/>
      </c>
      <c r="K202" s="25">
        <f>ROUND(J202*Прайс!$B$5,0)</f>
        <v/>
      </c>
      <c r="L202" s="27">
        <f>J202+K202</f>
        <v/>
      </c>
      <c r="M202" s="8" t="n"/>
      <c r="N202" s="8" t="n"/>
      <c r="O202" s="22" t="n"/>
      <c r="P202" s="8" t="n"/>
    </row>
    <row r="203">
      <c r="A203" s="22" t="n"/>
      <c r="B203" s="22" t="n"/>
      <c r="C203" s="22" t="n"/>
      <c r="D203" s="8" t="inlineStr">
        <is>
          <t xml:space="preserve">   Флористическая фотозона</t>
        </is>
      </c>
      <c r="E203" s="22" t="inlineStr">
        <is>
          <t>шт.</t>
        </is>
      </c>
      <c r="F203" s="23" t="n">
        <v>1</v>
      </c>
      <c r="G203" s="24">
        <f>Прайс!E151</f>
        <v/>
      </c>
      <c r="H203" s="25">
        <f>ROUND(F203*G203,0)</f>
        <v/>
      </c>
      <c r="I203" s="26" t="n">
        <v>0</v>
      </c>
      <c r="J203" s="27">
        <f>ROUND(H203*(1-I203),0)</f>
        <v/>
      </c>
      <c r="K203" s="25">
        <f>ROUND(J203*Прайс!$B$5,0)</f>
        <v/>
      </c>
      <c r="L203" s="27">
        <f>J203+K203</f>
        <v/>
      </c>
      <c r="M203" s="8" t="n"/>
      <c r="N203" s="8" t="n"/>
      <c r="O203" s="22" t="n"/>
      <c r="P203" s="8" t="n"/>
    </row>
    <row r="204">
      <c r="A204" s="22" t="n"/>
      <c r="B204" s="22" t="n"/>
      <c r="C204" s="22" t="n"/>
      <c r="D204" s="8" t="inlineStr">
        <is>
          <t xml:space="preserve">   Доставка, монтаж и демонтаж флористики</t>
        </is>
      </c>
      <c r="E204" s="22" t="inlineStr">
        <is>
          <t>компл.</t>
        </is>
      </c>
      <c r="F204" s="23" t="n">
        <v>1</v>
      </c>
      <c r="G204" s="24">
        <f>Прайс!E152</f>
        <v/>
      </c>
      <c r="H204" s="25">
        <f>ROUND(F204*G204,0)</f>
        <v/>
      </c>
      <c r="I204" s="26" t="n">
        <v>0</v>
      </c>
      <c r="J204" s="27">
        <f>ROUND(H204*(1-I204),0)</f>
        <v/>
      </c>
      <c r="K204" s="25">
        <f>ROUND(J204*Прайс!$B$5,0)</f>
        <v/>
      </c>
      <c r="L204" s="27">
        <f>J204+K204</f>
        <v/>
      </c>
      <c r="M204" s="8" t="n"/>
      <c r="N204" s="8" t="n"/>
      <c r="O204" s="22" t="n"/>
      <c r="P204" s="8" t="n"/>
    </row>
    <row r="205">
      <c r="A205" s="15" t="n">
        <v>24</v>
      </c>
      <c r="B205" s="16" t="inlineStr">
        <is>
          <t>Кейтеринг</t>
        </is>
      </c>
      <c r="C205" s="17" t="inlineStr">
        <is>
          <t>Времена Года, Венеция</t>
        </is>
      </c>
      <c r="D205" s="18" t="inlineStr">
        <is>
          <t>Позиция ТЗ</t>
        </is>
      </c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>
        <f>"Аванс "&amp;TEXT(Прайс!$B$7,"0%")&amp;", остаток "&amp;TEXT(1-Прайс!$B$7,"0%")&amp;" после акта"</f>
        <v/>
      </c>
      <c r="O205" s="17">
        <f>Прайс!$B$10&amp;" мес."</f>
        <v/>
      </c>
      <c r="P205" s="17" t="inlineStr">
        <is>
          <t>Минимум 30 гостей. Посуда, текстиль, официанты, доставка, сервировка и уборка входят в цену на персону. Вегетарианское, безглютеновое и детское меню делаем. Персонал с медкнижками.</t>
        </is>
      </c>
    </row>
    <row r="206">
      <c r="A206" s="19" t="n"/>
      <c r="B206" s="19" t="n"/>
      <c r="C206" s="19" t="n"/>
      <c r="D206" s="20" t="inlineStr">
        <is>
          <t>(1) Завтрак-фуршет на 40 гостей, 2,5 ч, кофе-брейк</t>
        </is>
      </c>
      <c r="E206" s="9" t="inlineStr">
        <is>
          <t>итого</t>
        </is>
      </c>
      <c r="F206" s="19" t="n"/>
      <c r="G206" s="19" t="n"/>
      <c r="H206" s="21">
        <f>SUM(H207:H207)</f>
        <v/>
      </c>
      <c r="I206" s="19" t="n"/>
      <c r="J206" s="21">
        <f>SUM(J207:J207)</f>
        <v/>
      </c>
      <c r="K206" s="21">
        <f>SUM(K207:K207)</f>
        <v/>
      </c>
      <c r="L206" s="21">
        <f>SUM(L207:L207)</f>
        <v/>
      </c>
      <c r="M206" s="19" t="inlineStr">
        <is>
          <t>Заказ за 5 р.д.</t>
        </is>
      </c>
      <c r="N206" s="19" t="n"/>
      <c r="O206" s="19" t="n"/>
      <c r="P206" s="19" t="n"/>
    </row>
    <row r="207">
      <c r="A207" s="22" t="n"/>
      <c r="B207" s="22" t="n"/>
      <c r="C207" s="22" t="n"/>
      <c r="D207" s="8" t="inlineStr">
        <is>
          <t xml:space="preserve">   Завтрак-фуршет 6-8 позиций и кофе-брейк, посуда, текстиль, официанты, уборка</t>
        </is>
      </c>
      <c r="E207" s="22" t="inlineStr">
        <is>
          <t>гость</t>
        </is>
      </c>
      <c r="F207" s="23" t="n">
        <v>40</v>
      </c>
      <c r="G207" s="24">
        <f>Прайс!E153</f>
        <v/>
      </c>
      <c r="H207" s="25">
        <f>ROUND(F207*G207,0)</f>
        <v/>
      </c>
      <c r="I207" s="26" t="n">
        <v>0</v>
      </c>
      <c r="J207" s="27">
        <f>ROUND(H207*(1-I207),0)</f>
        <v/>
      </c>
      <c r="K207" s="25">
        <f>ROUND(J207*Прайс!$B$5,0)</f>
        <v/>
      </c>
      <c r="L207" s="27">
        <f>J207+K207</f>
        <v/>
      </c>
      <c r="M207" s="8" t="n"/>
      <c r="N207" s="8" t="n"/>
      <c r="O207" s="22" t="n"/>
      <c r="P207" s="8" t="n"/>
    </row>
    <row r="208">
      <c r="A208" s="19" t="n"/>
      <c r="B208" s="19" t="n"/>
      <c r="C208" s="19" t="n"/>
      <c r="D208" s="20" t="inlineStr">
        <is>
          <t>(2) Вечерний фуршет на 100 гостей, 3 ч, безалкогольный бар</t>
        </is>
      </c>
      <c r="E208" s="9" t="inlineStr">
        <is>
          <t>итого</t>
        </is>
      </c>
      <c r="F208" s="19" t="n"/>
      <c r="G208" s="19" t="n"/>
      <c r="H208" s="21">
        <f>SUM(H209:H209)</f>
        <v/>
      </c>
      <c r="I208" s="19" t="n"/>
      <c r="J208" s="21">
        <f>SUM(J209:J209)</f>
        <v/>
      </c>
      <c r="K208" s="21">
        <f>SUM(K209:K209)</f>
        <v/>
      </c>
      <c r="L208" s="21">
        <f>SUM(L209:L209)</f>
        <v/>
      </c>
      <c r="M208" s="19" t="inlineStr">
        <is>
          <t>Заказ за 7 р.д.</t>
        </is>
      </c>
      <c r="N208" s="19" t="n"/>
      <c r="O208" s="19" t="n"/>
      <c r="P208" s="19" t="n"/>
    </row>
    <row r="209">
      <c r="A209" s="22" t="n"/>
      <c r="B209" s="22" t="n"/>
      <c r="C209" s="22" t="n"/>
      <c r="D209" s="8" t="inlineStr">
        <is>
          <t xml:space="preserve">   Вечерний фуршет 10-12 позиций и безалкогольный бар, посуда, текстиль, официанты, уборка</t>
        </is>
      </c>
      <c r="E209" s="22" t="inlineStr">
        <is>
          <t>гость</t>
        </is>
      </c>
      <c r="F209" s="23" t="n">
        <v>100</v>
      </c>
      <c r="G209" s="24">
        <f>Прайс!E154</f>
        <v/>
      </c>
      <c r="H209" s="25">
        <f>ROUND(F209*G209,0)</f>
        <v/>
      </c>
      <c r="I209" s="26" t="n">
        <v>0</v>
      </c>
      <c r="J209" s="27">
        <f>ROUND(H209*(1-I209),0)</f>
        <v/>
      </c>
      <c r="K209" s="25">
        <f>ROUND(J209*Прайс!$B$5,0)</f>
        <v/>
      </c>
      <c r="L209" s="27">
        <f>J209+K209</f>
        <v/>
      </c>
      <c r="M209" s="8" t="n"/>
      <c r="N209" s="8" t="n"/>
      <c r="O209" s="22" t="n"/>
      <c r="P209" s="8" t="n"/>
    </row>
    <row r="210">
      <c r="A210" s="19" t="n"/>
      <c r="B210" s="19" t="n"/>
      <c r="C210" s="19" t="n"/>
      <c r="D210" s="20" t="inlineStr">
        <is>
          <t>Официант сверх нормы</t>
        </is>
      </c>
      <c r="E210" s="19" t="inlineStr">
        <is>
          <t>час</t>
        </is>
      </c>
      <c r="F210" s="31" t="n">
        <v>1</v>
      </c>
      <c r="G210" s="32">
        <f>Прайс!E155</f>
        <v/>
      </c>
      <c r="H210" s="33">
        <f>ROUND(F210*G210,0)</f>
        <v/>
      </c>
      <c r="I210" s="34" t="n">
        <v>0</v>
      </c>
      <c r="J210" s="35">
        <f>ROUND(H210*(1-I210),0)</f>
        <v/>
      </c>
      <c r="K210" s="33">
        <f>ROUND(J210*Прайс!$B$5,0)</f>
        <v/>
      </c>
      <c r="L210" s="35">
        <f>J210+K210</f>
        <v/>
      </c>
      <c r="M210" s="19" t="inlineStr"/>
      <c r="N210" s="19" t="n"/>
      <c r="O210" s="19" t="n"/>
      <c r="P210" s="19" t="n"/>
    </row>
    <row r="211">
      <c r="A211" s="19" t="n"/>
      <c r="B211" s="19" t="n"/>
      <c r="C211" s="19" t="n"/>
      <c r="D211" s="20" t="inlineStr">
        <is>
          <t>Дегустация</t>
        </is>
      </c>
      <c r="E211" s="19" t="inlineStr">
        <is>
          <t>компл.</t>
        </is>
      </c>
      <c r="F211" s="31" t="n">
        <v>1</v>
      </c>
      <c r="G211" s="32">
        <f>Прайс!E156</f>
        <v/>
      </c>
      <c r="H211" s="33">
        <f>ROUND(F211*G211,0)</f>
        <v/>
      </c>
      <c r="I211" s="34" t="n">
        <v>0</v>
      </c>
      <c r="J211" s="35">
        <f>ROUND(H211*(1-I211),0)</f>
        <v/>
      </c>
      <c r="K211" s="33">
        <f>ROUND(J211*Прайс!$B$5,0)</f>
        <v/>
      </c>
      <c r="L211" s="35">
        <f>J211+K211</f>
        <v/>
      </c>
      <c r="M211" s="19" t="inlineStr">
        <is>
          <t>За 5 р.д. до мероприятия</t>
        </is>
      </c>
      <c r="N211" s="19" t="n"/>
      <c r="O211" s="19" t="n"/>
      <c r="P211" s="19" t="n"/>
    </row>
    <row r="212">
      <c r="A212" s="15" t="n">
        <v>25</v>
      </c>
      <c r="B212" s="16" t="inlineStr">
        <is>
          <t>Звук и свет</t>
        </is>
      </c>
      <c r="C212" s="17" t="inlineStr">
        <is>
          <t>Времена Года, Венеция, Центральный рынок</t>
        </is>
      </c>
      <c r="D212" s="18" t="inlineStr">
        <is>
          <t>Позиция ТЗ</t>
        </is>
      </c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>
        <f>"Аванс "&amp;TEXT(Прайс!$B$11,"0%")&amp;" на расходы подрядчиков, остаток в течение "&amp;Прайс!$B$8&amp;" р.д. после акта"</f>
        <v/>
      </c>
      <c r="O212" s="17">
        <f>Прайс!$B$9&amp;" мес."</f>
        <v/>
      </c>
      <c r="P212" s="17" t="inlineStr">
        <is>
          <t>Техник на площадке все время мероприятия. Резервный радиомикрофон в комплекте, резервный пульт по прайсу.</t>
        </is>
      </c>
    </row>
    <row r="213">
      <c r="A213" s="19" t="n"/>
      <c r="B213" s="19" t="n"/>
      <c r="C213" s="19" t="n"/>
      <c r="D213" s="20" t="inlineStr">
        <is>
          <t>Мероприятие в атриуме на 100 гостей, 4 ч</t>
        </is>
      </c>
      <c r="E213" s="9" t="inlineStr">
        <is>
          <t>итого</t>
        </is>
      </c>
      <c r="F213" s="19" t="n"/>
      <c r="G213" s="19" t="n"/>
      <c r="H213" s="21">
        <f>SUM(H214:H219)</f>
        <v/>
      </c>
      <c r="I213" s="19" t="n"/>
      <c r="J213" s="21">
        <f>SUM(J214:J219)</f>
        <v/>
      </c>
      <c r="K213" s="21">
        <f>SUM(K214:K219)</f>
        <v/>
      </c>
      <c r="L213" s="21">
        <f>SUM(L214:L219)</f>
        <v/>
      </c>
      <c r="M213" s="19" t="inlineStr">
        <is>
          <t>Монтаж 3 ч, демонтаж 1,5 ч</t>
        </is>
      </c>
      <c r="N213" s="19" t="n"/>
      <c r="O213" s="19" t="n"/>
      <c r="P213" s="19" t="n"/>
    </row>
    <row r="214">
      <c r="A214" s="22" t="n"/>
      <c r="B214" s="22" t="n"/>
      <c r="C214" s="22" t="n"/>
      <c r="D214" s="8" t="inlineStr">
        <is>
          <t xml:space="preserve">   Акустическая система на зону до 300 м²</t>
        </is>
      </c>
      <c r="E214" s="22" t="inlineStr">
        <is>
          <t>компл.</t>
        </is>
      </c>
      <c r="F214" s="23" t="n">
        <v>1</v>
      </c>
      <c r="G214" s="24">
        <f>Прайс!E157</f>
        <v/>
      </c>
      <c r="H214" s="25">
        <f>ROUND(F214*G214,0)</f>
        <v/>
      </c>
      <c r="I214" s="26" t="n">
        <v>0</v>
      </c>
      <c r="J214" s="27">
        <f>ROUND(H214*(1-I214),0)</f>
        <v/>
      </c>
      <c r="K214" s="25">
        <f>ROUND(J214*Прайс!$B$5,0)</f>
        <v/>
      </c>
      <c r="L214" s="27">
        <f>J214+K214</f>
        <v/>
      </c>
      <c r="M214" s="8" t="n"/>
      <c r="N214" s="8" t="n"/>
      <c r="O214" s="22" t="n"/>
      <c r="P214" s="8" t="n"/>
    </row>
    <row r="215">
      <c r="A215" s="22" t="n"/>
      <c r="B215" s="22" t="n"/>
      <c r="C215" s="22" t="n"/>
      <c r="D215" s="8" t="inlineStr">
        <is>
          <t xml:space="preserve">   Радиомикрофон</t>
        </is>
      </c>
      <c r="E215" s="22" t="inlineStr">
        <is>
          <t>шт.</t>
        </is>
      </c>
      <c r="F215" s="23" t="n">
        <v>2</v>
      </c>
      <c r="G215" s="24">
        <f>Прайс!E158</f>
        <v/>
      </c>
      <c r="H215" s="25">
        <f>ROUND(F215*G215,0)</f>
        <v/>
      </c>
      <c r="I215" s="26" t="n">
        <v>0</v>
      </c>
      <c r="J215" s="27">
        <f>ROUND(H215*(1-I215),0)</f>
        <v/>
      </c>
      <c r="K215" s="25">
        <f>ROUND(J215*Прайс!$B$5,0)</f>
        <v/>
      </c>
      <c r="L215" s="27">
        <f>J215+K215</f>
        <v/>
      </c>
      <c r="M215" s="8" t="n"/>
      <c r="N215" s="8" t="n"/>
      <c r="O215" s="22" t="n"/>
      <c r="P215" s="8" t="n"/>
    </row>
    <row r="216">
      <c r="A216" s="22" t="n"/>
      <c r="B216" s="22" t="n"/>
      <c r="C216" s="22" t="n"/>
      <c r="D216" s="8" t="inlineStr">
        <is>
          <t xml:space="preserve">   Микшерный пульт</t>
        </is>
      </c>
      <c r="E216" s="22" t="inlineStr">
        <is>
          <t>шт.</t>
        </is>
      </c>
      <c r="F216" s="23" t="n">
        <v>1</v>
      </c>
      <c r="G216" s="24">
        <f>Прайс!E159</f>
        <v/>
      </c>
      <c r="H216" s="25">
        <f>ROUND(F216*G216,0)</f>
        <v/>
      </c>
      <c r="I216" s="26" t="n">
        <v>0</v>
      </c>
      <c r="J216" s="27">
        <f>ROUND(H216*(1-I216),0)</f>
        <v/>
      </c>
      <c r="K216" s="25">
        <f>ROUND(J216*Прайс!$B$5,0)</f>
        <v/>
      </c>
      <c r="L216" s="27">
        <f>J216+K216</f>
        <v/>
      </c>
      <c r="M216" s="8" t="n"/>
      <c r="N216" s="8" t="n"/>
      <c r="O216" s="22" t="n"/>
      <c r="P216" s="8" t="n"/>
    </row>
    <row r="217">
      <c r="A217" s="22" t="n"/>
      <c r="B217" s="22" t="n"/>
      <c r="C217" s="22" t="n"/>
      <c r="D217" s="8" t="inlineStr">
        <is>
          <t xml:space="preserve">   Сценический свет для подиума 4 × 3 м</t>
        </is>
      </c>
      <c r="E217" s="22" t="inlineStr">
        <is>
          <t>компл.</t>
        </is>
      </c>
      <c r="F217" s="23" t="n">
        <v>1</v>
      </c>
      <c r="G217" s="24">
        <f>Прайс!E160</f>
        <v/>
      </c>
      <c r="H217" s="25">
        <f>ROUND(F217*G217,0)</f>
        <v/>
      </c>
      <c r="I217" s="26" t="n">
        <v>0</v>
      </c>
      <c r="J217" s="27">
        <f>ROUND(H217*(1-I217),0)</f>
        <v/>
      </c>
      <c r="K217" s="25">
        <f>ROUND(J217*Прайс!$B$5,0)</f>
        <v/>
      </c>
      <c r="L217" s="27">
        <f>J217+K217</f>
        <v/>
      </c>
      <c r="M217" s="8" t="n"/>
      <c r="N217" s="8" t="n"/>
      <c r="O217" s="22" t="n"/>
      <c r="P217" s="8" t="n"/>
    </row>
    <row r="218">
      <c r="A218" s="22" t="n"/>
      <c r="B218" s="22" t="n"/>
      <c r="C218" s="22" t="n"/>
      <c r="D218" s="8" t="inlineStr">
        <is>
          <t xml:space="preserve">   Техник на все время мероприятия</t>
        </is>
      </c>
      <c r="E218" s="22" t="inlineStr">
        <is>
          <t>смена</t>
        </is>
      </c>
      <c r="F218" s="23" t="n">
        <v>1</v>
      </c>
      <c r="G218" s="24">
        <f>Прайс!E161</f>
        <v/>
      </c>
      <c r="H218" s="25">
        <f>ROUND(F218*G218,0)</f>
        <v/>
      </c>
      <c r="I218" s="26" t="n">
        <v>0</v>
      </c>
      <c r="J218" s="27">
        <f>ROUND(H218*(1-I218),0)</f>
        <v/>
      </c>
      <c r="K218" s="25">
        <f>ROUND(J218*Прайс!$B$5,0)</f>
        <v/>
      </c>
      <c r="L218" s="27">
        <f>J218+K218</f>
        <v/>
      </c>
      <c r="M218" s="8" t="n"/>
      <c r="N218" s="8" t="n"/>
      <c r="O218" s="22" t="n"/>
      <c r="P218" s="8" t="n"/>
    </row>
    <row r="219">
      <c r="A219" s="22" t="n"/>
      <c r="B219" s="22" t="n"/>
      <c r="C219" s="22" t="n"/>
      <c r="D219" s="8" t="inlineStr">
        <is>
          <t xml:space="preserve">   Доставка, монтаж, демонтаж</t>
        </is>
      </c>
      <c r="E219" s="22" t="inlineStr">
        <is>
          <t>компл.</t>
        </is>
      </c>
      <c r="F219" s="23" t="n">
        <v>1</v>
      </c>
      <c r="G219" s="24">
        <f>Прайс!E162</f>
        <v/>
      </c>
      <c r="H219" s="25">
        <f>ROUND(F219*G219,0)</f>
        <v/>
      </c>
      <c r="I219" s="26" t="n">
        <v>0</v>
      </c>
      <c r="J219" s="27">
        <f>ROUND(H219*(1-I219),0)</f>
        <v/>
      </c>
      <c r="K219" s="25">
        <f>ROUND(J219*Прайс!$B$5,0)</f>
        <v/>
      </c>
      <c r="L219" s="27">
        <f>J219+K219</f>
        <v/>
      </c>
      <c r="M219" s="8" t="n"/>
      <c r="N219" s="8" t="n"/>
      <c r="O219" s="22" t="n"/>
      <c r="P219" s="8" t="n"/>
    </row>
    <row r="220">
      <c r="A220" s="15" t="n">
        <v>26</v>
      </c>
      <c r="B220" s="16" t="inlineStr">
        <is>
          <t>Звукорежиссер</t>
        </is>
      </c>
      <c r="C220" s="17" t="inlineStr">
        <is>
          <t>ЦДМ, Венеция, Центральный рынок</t>
        </is>
      </c>
      <c r="D220" s="18" t="inlineStr">
        <is>
          <t>Позиция ТЗ</t>
        </is>
      </c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>
        <f>"Аванс "&amp;TEXT(Прайс!$B$11,"0%")&amp;" на расходы подрядчиков, остаток в течение "&amp;Прайс!$B$8&amp;" р.д. после акта"</f>
        <v/>
      </c>
      <c r="O220" s="17">
        <f>Прайс!$B$9&amp;" мес."</f>
        <v/>
      </c>
      <c r="P220" s="17" t="inlineStr">
        <is>
          <t>Работа на оборудовании подрядчика по звуку или площадки.</t>
        </is>
      </c>
    </row>
    <row r="221">
      <c r="A221" s="19" t="n"/>
      <c r="B221" s="19" t="n"/>
      <c r="C221" s="19" t="n"/>
      <c r="D221" s="20" t="inlineStr">
        <is>
          <t>Смена 6 ч: ведущий + живое выступление, вокал и гитара</t>
        </is>
      </c>
      <c r="E221" s="19" t="inlineStr">
        <is>
          <t>смена</t>
        </is>
      </c>
      <c r="F221" s="31" t="n">
        <v>1</v>
      </c>
      <c r="G221" s="32">
        <f>Прайс!E163</f>
        <v/>
      </c>
      <c r="H221" s="33">
        <f>ROUND(F221*G221,0)</f>
        <v/>
      </c>
      <c r="I221" s="34" t="n">
        <v>0</v>
      </c>
      <c r="J221" s="35">
        <f>ROUND(H221*(1-I221),0)</f>
        <v/>
      </c>
      <c r="K221" s="33">
        <f>ROUND(J221*Прайс!$B$5,0)</f>
        <v/>
      </c>
      <c r="L221" s="35">
        <f>J221+K221</f>
        <v/>
      </c>
      <c r="M221" s="19" t="inlineStr">
        <is>
          <t>Саундчек 1 ч входит в смену</t>
        </is>
      </c>
      <c r="N221" s="19" t="n"/>
      <c r="O221" s="19" t="n"/>
      <c r="P221" s="19" t="n"/>
    </row>
    <row r="222">
      <c r="A222" s="15" t="n">
        <v>27</v>
      </c>
      <c r="B222" s="16" t="inlineStr">
        <is>
          <t>Диджей</t>
        </is>
      </c>
      <c r="C222" s="17" t="inlineStr">
        <is>
          <t>Времена Года, Венеция, Центральный рынок</t>
        </is>
      </c>
      <c r="D222" s="18" t="inlineStr">
        <is>
          <t>Позиция ТЗ</t>
        </is>
      </c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>
        <f>"Аванс "&amp;TEXT(Прайс!$B$11,"0%")&amp;" на расходы подрядчиков, остаток в течение "&amp;Прайс!$B$8&amp;" р.д. после акта"</f>
        <v/>
      </c>
      <c r="O222" s="17">
        <f>Прайс!$B$9&amp;" мес."</f>
        <v/>
      </c>
      <c r="P222" s="17" t="inlineStr">
        <is>
          <t>Плейлист согласуем заранее. Запись сета 20-30 мин в этом формате высылаем по запросу.</t>
        </is>
      </c>
    </row>
    <row r="223">
      <c r="A223" s="19" t="n"/>
      <c r="B223" s="19" t="n"/>
      <c r="C223" s="19" t="n"/>
      <c r="D223" s="20" t="inlineStr">
        <is>
          <t>Сет 3 ч, lounge / deep house, с оборудованием</t>
        </is>
      </c>
      <c r="E223" s="19" t="inlineStr">
        <is>
          <t>сет</t>
        </is>
      </c>
      <c r="F223" s="31" t="n">
        <v>1</v>
      </c>
      <c r="G223" s="32">
        <f>Прайс!E165</f>
        <v/>
      </c>
      <c r="H223" s="33">
        <f>ROUND(F223*G223,0)</f>
        <v/>
      </c>
      <c r="I223" s="34" t="n">
        <v>0</v>
      </c>
      <c r="J223" s="35">
        <f>ROUND(H223*(1-I223),0)</f>
        <v/>
      </c>
      <c r="K223" s="33">
        <f>ROUND(J223*Прайс!$B$5,0)</f>
        <v/>
      </c>
      <c r="L223" s="35">
        <f>J223+K223</f>
        <v/>
      </c>
      <c r="M223" s="19" t="inlineStr"/>
      <c r="N223" s="19" t="n"/>
      <c r="O223" s="19" t="n"/>
      <c r="P223" s="19" t="n"/>
    </row>
    <row r="224">
      <c r="A224" s="19" t="n"/>
      <c r="B224" s="19" t="n"/>
      <c r="C224" s="19" t="n"/>
      <c r="D224" s="20" t="inlineStr">
        <is>
          <t>Сет 3 ч, без оборудования</t>
        </is>
      </c>
      <c r="E224" s="19" t="inlineStr">
        <is>
          <t>сет</t>
        </is>
      </c>
      <c r="F224" s="31" t="n">
        <v>1</v>
      </c>
      <c r="G224" s="32">
        <f>Прайс!E166</f>
        <v/>
      </c>
      <c r="H224" s="33">
        <f>ROUND(F224*G224,0)</f>
        <v/>
      </c>
      <c r="I224" s="34" t="n">
        <v>0</v>
      </c>
      <c r="J224" s="35">
        <f>ROUND(H224*(1-I224),0)</f>
        <v/>
      </c>
      <c r="K224" s="33">
        <f>ROUND(J224*Прайс!$B$5,0)</f>
        <v/>
      </c>
      <c r="L224" s="35">
        <f>J224+K224</f>
        <v/>
      </c>
      <c r="M224" s="19" t="inlineStr"/>
      <c r="N224" s="19" t="n"/>
      <c r="O224" s="19" t="n"/>
      <c r="P224" s="19" t="n"/>
    </row>
    <row r="225">
      <c r="A225" s="15" t="n">
        <v>28</v>
      </c>
      <c r="B225" s="16" t="inlineStr">
        <is>
          <t>Аренда мебели</t>
        </is>
      </c>
      <c r="C225" s="17" t="inlineStr">
        <is>
          <t>Времена Года, Венеция</t>
        </is>
      </c>
      <c r="D225" s="18" t="inlineStr">
        <is>
          <t>Позиция ТЗ</t>
        </is>
      </c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>
        <f>"Аванс "&amp;TEXT(Прайс!$B$7,"0%")&amp;", остаток "&amp;TEXT(1-Прайс!$B$7,"0%")&amp;" после акта"</f>
        <v/>
      </c>
      <c r="O225" s="17">
        <f>Прайс!$B$10&amp;" мес."</f>
        <v/>
      </c>
      <c r="P225" s="17" t="inlineStr">
        <is>
          <t>Залог не берем, работаем по договору. Повреждения фиксируем актом и возмещаем по прайсу прокатчика. Минимальный заказ 30 000 ₽ без НДС.</t>
        </is>
      </c>
    </row>
    <row r="226">
      <c r="A226" s="19" t="n"/>
      <c r="B226" s="19" t="n"/>
      <c r="C226" s="19" t="n"/>
      <c r="D226" s="20" t="inlineStr">
        <is>
          <t>Мероприятие на 100 гостей, 1 день: 3 лаунж-зоны, 10 коктейльных столов, барная стойка</t>
        </is>
      </c>
      <c r="E226" s="9" t="inlineStr">
        <is>
          <t>итого</t>
        </is>
      </c>
      <c r="F226" s="19" t="n"/>
      <c r="G226" s="19" t="n"/>
      <c r="H226" s="21">
        <f>SUM(H227:H230)</f>
        <v/>
      </c>
      <c r="I226" s="19" t="n"/>
      <c r="J226" s="21">
        <f>SUM(J227:J230)</f>
        <v/>
      </c>
      <c r="K226" s="21">
        <f>SUM(K227:K230)</f>
        <v/>
      </c>
      <c r="L226" s="21">
        <f>SUM(L227:L230)</f>
        <v/>
      </c>
      <c r="M226" s="19" t="inlineStr">
        <is>
          <t>Бронь за 5 р.д.</t>
        </is>
      </c>
      <c r="N226" s="19" t="n"/>
      <c r="O226" s="19" t="n"/>
      <c r="P226" s="19" t="n"/>
    </row>
    <row r="227">
      <c r="A227" s="22" t="n"/>
      <c r="B227" s="22" t="n"/>
      <c r="C227" s="22" t="n"/>
      <c r="D227" s="8" t="inlineStr">
        <is>
          <t xml:space="preserve">   Лаунж-зона: диван, 2 кресла, журнальный стол</t>
        </is>
      </c>
      <c r="E227" s="22" t="inlineStr">
        <is>
          <t>компл./сут.</t>
        </is>
      </c>
      <c r="F227" s="23" t="n">
        <v>3</v>
      </c>
      <c r="G227" s="24">
        <f>Прайс!E168</f>
        <v/>
      </c>
      <c r="H227" s="25">
        <f>ROUND(F227*G227,0)</f>
        <v/>
      </c>
      <c r="I227" s="26" t="n">
        <v>0</v>
      </c>
      <c r="J227" s="27">
        <f>ROUND(H227*(1-I227),0)</f>
        <v/>
      </c>
      <c r="K227" s="25">
        <f>ROUND(J227*Прайс!$B$5,0)</f>
        <v/>
      </c>
      <c r="L227" s="27">
        <f>J227+K227</f>
        <v/>
      </c>
      <c r="M227" s="8" t="n"/>
      <c r="N227" s="8" t="n"/>
      <c r="O227" s="22" t="n"/>
      <c r="P227" s="8" t="n"/>
    </row>
    <row r="228">
      <c r="A228" s="22" t="n"/>
      <c r="B228" s="22" t="n"/>
      <c r="C228" s="22" t="n"/>
      <c r="D228" s="8" t="inlineStr">
        <is>
          <t xml:space="preserve">   Коктейльный стол с чехлом</t>
        </is>
      </c>
      <c r="E228" s="22" t="inlineStr">
        <is>
          <t>шт./сут.</t>
        </is>
      </c>
      <c r="F228" s="23" t="n">
        <v>10</v>
      </c>
      <c r="G228" s="24">
        <f>Прайс!E169</f>
        <v/>
      </c>
      <c r="H228" s="25">
        <f>ROUND(F228*G228,0)</f>
        <v/>
      </c>
      <c r="I228" s="26" t="n">
        <v>0</v>
      </c>
      <c r="J228" s="27">
        <f>ROUND(H228*(1-I228),0)</f>
        <v/>
      </c>
      <c r="K228" s="25">
        <f>ROUND(J228*Прайс!$B$5,0)</f>
        <v/>
      </c>
      <c r="L228" s="27">
        <f>J228+K228</f>
        <v/>
      </c>
      <c r="M228" s="8" t="n"/>
      <c r="N228" s="8" t="n"/>
      <c r="O228" s="22" t="n"/>
      <c r="P228" s="8" t="n"/>
    </row>
    <row r="229">
      <c r="A229" s="22" t="n"/>
      <c r="B229" s="22" t="n"/>
      <c r="C229" s="22" t="n"/>
      <c r="D229" s="8" t="inlineStr">
        <is>
          <t xml:space="preserve">   Барная стойка</t>
        </is>
      </c>
      <c r="E229" s="22" t="inlineStr">
        <is>
          <t>шт./сут.</t>
        </is>
      </c>
      <c r="F229" s="23" t="n">
        <v>1</v>
      </c>
      <c r="G229" s="24">
        <f>Прайс!E170</f>
        <v/>
      </c>
      <c r="H229" s="25">
        <f>ROUND(F229*G229,0)</f>
        <v/>
      </c>
      <c r="I229" s="26" t="n">
        <v>0</v>
      </c>
      <c r="J229" s="27">
        <f>ROUND(H229*(1-I229),0)</f>
        <v/>
      </c>
      <c r="K229" s="25">
        <f>ROUND(J229*Прайс!$B$5,0)</f>
        <v/>
      </c>
      <c r="L229" s="27">
        <f>J229+K229</f>
        <v/>
      </c>
      <c r="M229" s="8" t="n"/>
      <c r="N229" s="8" t="n"/>
      <c r="O229" s="22" t="n"/>
      <c r="P229" s="8" t="n"/>
    </row>
    <row r="230">
      <c r="A230" s="22" t="n"/>
      <c r="B230" s="22" t="n"/>
      <c r="C230" s="22" t="n"/>
      <c r="D230" s="8" t="inlineStr">
        <is>
          <t xml:space="preserve">   Доставка, сборка и вывоз в ночное время</t>
        </is>
      </c>
      <c r="E230" s="22" t="inlineStr">
        <is>
          <t>компл.</t>
        </is>
      </c>
      <c r="F230" s="23" t="n">
        <v>1</v>
      </c>
      <c r="G230" s="24">
        <f>Прайс!E171</f>
        <v/>
      </c>
      <c r="H230" s="25">
        <f>ROUND(F230*G230,0)</f>
        <v/>
      </c>
      <c r="I230" s="26" t="n">
        <v>0</v>
      </c>
      <c r="J230" s="27">
        <f>ROUND(H230*(1-I230),0)</f>
        <v/>
      </c>
      <c r="K230" s="25">
        <f>ROUND(J230*Прайс!$B$5,0)</f>
        <v/>
      </c>
      <c r="L230" s="27">
        <f>J230+K230</f>
        <v/>
      </c>
      <c r="M230" s="8" t="n"/>
      <c r="N230" s="8" t="n"/>
      <c r="O230" s="22" t="n"/>
      <c r="P230" s="8" t="inlineStr">
        <is>
          <t>ночью</t>
        </is>
      </c>
    </row>
    <row r="231">
      <c r="A231" s="15" t="n">
        <v>29</v>
      </c>
      <c r="B231" s="16" t="inlineStr">
        <is>
          <t>Закупка мебели</t>
        </is>
      </c>
      <c r="C231" s="17" t="inlineStr">
        <is>
          <t>Времена Года, Венеция</t>
        </is>
      </c>
      <c r="D231" s="18" t="inlineStr">
        <is>
          <t>Позиция ТЗ</t>
        </is>
      </c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>
        <f>"Аванс "&amp;TEXT(Прайс!$B$7,"0%")&amp;", остаток "&amp;TEXT(1-Прайс!$B$7,"0%")&amp;" после акта"</f>
        <v/>
      </c>
      <c r="O231" s="17">
        <f>Прайс!$B$10&amp;" мес."</f>
        <v/>
      </c>
      <c r="P231" s="17" t="inlineStr">
        <is>
          <t>Подбираем модели российских фабрик контрактной мебели с сертификатами соответствия и пожарной безопасности на мебель и ткани. Гарантия 12 месяцев. Изготовление под размер возможно, срок дольше на 10-15 р.д.</t>
        </is>
      </c>
    </row>
    <row r="232">
      <c r="A232" s="19" t="n"/>
      <c r="B232" s="19" t="n"/>
      <c r="C232" s="19" t="n"/>
      <c r="D232" s="20" t="inlineStr">
        <is>
          <t>Зона отдыха: 6 диванов, 12 кресел, 6 столиков, ткань от 50 000 циклов по Мартиндейлу</t>
        </is>
      </c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inlineStr">
        <is>
          <t>Подборка 2-3 моделей с ценами за 3 р.д., поставка 30-45 р.д.</t>
        </is>
      </c>
      <c r="N232" s="19" t="n"/>
      <c r="O232" s="19" t="n"/>
      <c r="P232" s="19" t="n"/>
    </row>
    <row r="233">
      <c r="A233" s="22" t="n"/>
      <c r="B233" s="22" t="n"/>
      <c r="C233" s="22" t="n"/>
      <c r="D233" s="8" t="inlineStr">
        <is>
          <t xml:space="preserve">   Диван для общественной зоны, ткань от 50 000 циклов по Мартиндейлу</t>
        </is>
      </c>
      <c r="E233" s="22" t="inlineStr">
        <is>
          <t>шт.</t>
        </is>
      </c>
      <c r="F233" s="23" t="n">
        <v>6</v>
      </c>
      <c r="G233" s="28" t="inlineStr">
        <is>
          <t>По запросу</t>
        </is>
      </c>
      <c r="H233" s="22" t="n"/>
      <c r="I233" s="29" t="n"/>
      <c r="J233" s="28" t="inlineStr">
        <is>
          <t>По запросу</t>
        </is>
      </c>
      <c r="K233" s="22" t="n"/>
      <c r="L233" s="28" t="inlineStr">
        <is>
          <t>По запросу</t>
        </is>
      </c>
      <c r="M233" s="8" t="n"/>
      <c r="N233" s="8" t="n"/>
      <c r="O233" s="22" t="n"/>
      <c r="P233" s="8" t="n"/>
    </row>
    <row r="234">
      <c r="A234" s="22" t="n"/>
      <c r="B234" s="22" t="n"/>
      <c r="C234" s="22" t="n"/>
      <c r="D234" s="8" t="inlineStr">
        <is>
          <t xml:space="preserve">   Кресло для общественной зоны, та же ткань</t>
        </is>
      </c>
      <c r="E234" s="22" t="inlineStr">
        <is>
          <t>шт.</t>
        </is>
      </c>
      <c r="F234" s="23" t="n">
        <v>12</v>
      </c>
      <c r="G234" s="28" t="inlineStr">
        <is>
          <t>По запросу</t>
        </is>
      </c>
      <c r="H234" s="22" t="n"/>
      <c r="I234" s="29" t="n"/>
      <c r="J234" s="28" t="inlineStr">
        <is>
          <t>По запросу</t>
        </is>
      </c>
      <c r="K234" s="22" t="n"/>
      <c r="L234" s="28" t="inlineStr">
        <is>
          <t>По запросу</t>
        </is>
      </c>
      <c r="M234" s="8" t="n"/>
      <c r="N234" s="8" t="n"/>
      <c r="O234" s="22" t="n"/>
      <c r="P234" s="8" t="n"/>
    </row>
    <row r="235">
      <c r="A235" s="22" t="n"/>
      <c r="B235" s="22" t="n"/>
      <c r="C235" s="22" t="n"/>
      <c r="D235" s="8" t="inlineStr">
        <is>
          <t xml:space="preserve">   Столик для зоны отдыха</t>
        </is>
      </c>
      <c r="E235" s="22" t="inlineStr">
        <is>
          <t>шт.</t>
        </is>
      </c>
      <c r="F235" s="23" t="n">
        <v>6</v>
      </c>
      <c r="G235" s="28" t="inlineStr">
        <is>
          <t>По запросу</t>
        </is>
      </c>
      <c r="H235" s="22" t="n"/>
      <c r="I235" s="29" t="n"/>
      <c r="J235" s="28" t="inlineStr">
        <is>
          <t>По запросу</t>
        </is>
      </c>
      <c r="K235" s="22" t="n"/>
      <c r="L235" s="28" t="inlineStr">
        <is>
          <t>По запросу</t>
        </is>
      </c>
      <c r="M235" s="8" t="n"/>
      <c r="N235" s="8" t="n"/>
      <c r="O235" s="22" t="n"/>
      <c r="P235" s="8" t="n"/>
    </row>
    <row r="236">
      <c r="A236" s="22" t="n"/>
      <c r="B236" s="22" t="n"/>
      <c r="C236" s="22" t="n"/>
      <c r="D236" s="8" t="inlineStr">
        <is>
          <t xml:space="preserve">   Доставка, сборка, вывоз упаковки</t>
        </is>
      </c>
      <c r="E236" s="22" t="inlineStr">
        <is>
          <t>компл.</t>
        </is>
      </c>
      <c r="F236" s="23" t="n">
        <v>1</v>
      </c>
      <c r="G236" s="28" t="inlineStr">
        <is>
          <t>По запросу</t>
        </is>
      </c>
      <c r="H236" s="22" t="n"/>
      <c r="I236" s="29" t="n"/>
      <c r="J236" s="28" t="inlineStr">
        <is>
          <t>По запросу</t>
        </is>
      </c>
      <c r="K236" s="22" t="n"/>
      <c r="L236" s="28" t="inlineStr">
        <is>
          <t>По запросу</t>
        </is>
      </c>
      <c r="M236" s="8" t="n"/>
      <c r="N236" s="8" t="n"/>
      <c r="O236" s="22" t="n"/>
      <c r="P236" s="8" t="n"/>
    </row>
    <row r="237">
      <c r="A237" s="15" t="n">
        <v>30</v>
      </c>
      <c r="B237" s="16" t="inlineStr">
        <is>
          <t>Стажеры, персонал</t>
        </is>
      </c>
      <c r="C237" s="17" t="inlineStr">
        <is>
          <t>Времена Года, Венеция, ЦДМ</t>
        </is>
      </c>
      <c r="D237" s="18" t="inlineStr">
        <is>
          <t>Позиция ТЗ</t>
        </is>
      </c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>
        <f>"Аванс "&amp;TEXT(Прайс!$B$11,"0%")&amp;" на расходы подрядчиков, остаток в течение "&amp;Прайс!$B$8&amp;" р.д. после акта"</f>
        <v/>
      </c>
      <c r="O237" s="17">
        <f>Прайс!$B$9&amp;" мес."</f>
        <v/>
      </c>
      <c r="P237" s="17" t="inlineStr">
        <is>
          <t>Оформление по ГПХ и через самозанятых. При неявке выводим замену в течение 3 ч, часы неявки к оплате не выставляем. Инструктаж перед выходом. Медкнижки при работе с едой.</t>
        </is>
      </c>
    </row>
    <row r="238">
      <c r="A238" s="19" t="n"/>
      <c r="B238" s="19" t="n"/>
      <c r="C238" s="19" t="n"/>
      <c r="D238" s="20" t="inlineStr">
        <is>
          <t>Выходные сб-вс, по 1 смене 8 ч в день: 4 промоутера + 2 хостес с английским</t>
        </is>
      </c>
      <c r="E238" s="9" t="inlineStr">
        <is>
          <t>итого</t>
        </is>
      </c>
      <c r="F238" s="19" t="n"/>
      <c r="G238" s="19" t="n"/>
      <c r="H238" s="21">
        <f>SUM(H239:H240)</f>
        <v/>
      </c>
      <c r="I238" s="19" t="n"/>
      <c r="J238" s="21">
        <f>SUM(J239:J240)</f>
        <v/>
      </c>
      <c r="K238" s="21">
        <f>SUM(K239:K240)</f>
        <v/>
      </c>
      <c r="L238" s="21">
        <f>SUM(L239:L240)</f>
        <v/>
      </c>
      <c r="M238" s="19" t="inlineStr">
        <is>
          <t>Выход через 3 р.д. после заявки</t>
        </is>
      </c>
      <c r="N238" s="19" t="n"/>
      <c r="O238" s="19" t="n"/>
      <c r="P238" s="19" t="n"/>
    </row>
    <row r="239">
      <c r="A239" s="22" t="n"/>
      <c r="B239" s="22" t="n"/>
      <c r="C239" s="22" t="n"/>
      <c r="D239" s="8" t="inlineStr">
        <is>
          <t xml:space="preserve">   Промоутер</t>
        </is>
      </c>
      <c r="E239" s="22" t="inlineStr">
        <is>
          <t>час</t>
        </is>
      </c>
      <c r="F239" s="23" t="n">
        <v>64</v>
      </c>
      <c r="G239" s="24">
        <f>Прайс!E176</f>
        <v/>
      </c>
      <c r="H239" s="25">
        <f>ROUND(F239*G239,0)</f>
        <v/>
      </c>
      <c r="I239" s="26" t="n">
        <v>0</v>
      </c>
      <c r="J239" s="27">
        <f>ROUND(H239*(1-I239),0)</f>
        <v/>
      </c>
      <c r="K239" s="25">
        <f>ROUND(J239*Прайс!$B$5,0)</f>
        <v/>
      </c>
      <c r="L239" s="27">
        <f>J239+K239</f>
        <v/>
      </c>
      <c r="M239" s="8" t="n"/>
      <c r="N239" s="8" t="n"/>
      <c r="O239" s="22" t="n"/>
      <c r="P239" s="8" t="inlineStr">
        <is>
          <t>4 чел. × 2 смены × 8 ч</t>
        </is>
      </c>
    </row>
    <row r="240">
      <c r="A240" s="22" t="n"/>
      <c r="B240" s="22" t="n"/>
      <c r="C240" s="22" t="n"/>
      <c r="D240" s="8" t="inlineStr">
        <is>
          <t xml:space="preserve">   Хостес со знанием английского</t>
        </is>
      </c>
      <c r="E240" s="22" t="inlineStr">
        <is>
          <t>час</t>
        </is>
      </c>
      <c r="F240" s="23" t="n">
        <v>32</v>
      </c>
      <c r="G240" s="24">
        <f>Прайс!E177</f>
        <v/>
      </c>
      <c r="H240" s="25">
        <f>ROUND(F240*G240,0)</f>
        <v/>
      </c>
      <c r="I240" s="26" t="n">
        <v>0</v>
      </c>
      <c r="J240" s="27">
        <f>ROUND(H240*(1-I240),0)</f>
        <v/>
      </c>
      <c r="K240" s="25">
        <f>ROUND(J240*Прайс!$B$5,0)</f>
        <v/>
      </c>
      <c r="L240" s="27">
        <f>J240+K240</f>
        <v/>
      </c>
      <c r="M240" s="8" t="n"/>
      <c r="N240" s="8" t="n"/>
      <c r="O240" s="22" t="n"/>
      <c r="P240" s="8" t="inlineStr">
        <is>
          <t>2 чел. × 2 смены × 8 ч</t>
        </is>
      </c>
    </row>
    <row r="241">
      <c r="A241" s="19" t="n"/>
      <c r="B241" s="19" t="n"/>
      <c r="C241" s="19" t="n"/>
      <c r="D241" s="20" t="inlineStr">
        <is>
          <t>Брендированная форма, опция</t>
        </is>
      </c>
      <c r="E241" s="19" t="inlineStr">
        <is>
          <t>шт.</t>
        </is>
      </c>
      <c r="F241" s="31" t="n">
        <v>6</v>
      </c>
      <c r="G241" s="32">
        <f>Прайс!E180</f>
        <v/>
      </c>
      <c r="H241" s="33">
        <f>ROUND(F241*G241,0)</f>
        <v/>
      </c>
      <c r="I241" s="34" t="n">
        <v>0</v>
      </c>
      <c r="J241" s="35">
        <f>ROUND(H241*(1-I241),0)</f>
        <v/>
      </c>
      <c r="K241" s="33">
        <f>ROUND(J241*Прайс!$B$5,0)</f>
        <v/>
      </c>
      <c r="L241" s="35">
        <f>J241+K241</f>
        <v/>
      </c>
      <c r="M241" s="19" t="inlineStr">
        <is>
          <t>5 р.д.</t>
        </is>
      </c>
      <c r="N241" s="19" t="n"/>
      <c r="O241" s="19" t="n"/>
      <c r="P241" s="19" t="n"/>
    </row>
    <row r="242">
      <c r="A242" s="15" t="n">
        <v>31</v>
      </c>
      <c r="B242" s="16" t="inlineStr">
        <is>
          <t>Фотозона</t>
        </is>
      </c>
      <c r="C242" s="17" t="inlineStr">
        <is>
          <t>Венеция</t>
        </is>
      </c>
      <c r="D242" s="18" t="inlineStr">
        <is>
          <t>Позиция ТЗ</t>
        </is>
      </c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>
        <f>"Аванс "&amp;TEXT(Прайс!$B$7,"0%")&amp;", остаток "&amp;TEXT(1-Прайс!$B$7,"0%")&amp;" после акта"</f>
        <v/>
      </c>
      <c r="O242" s="17">
        <f>Прайс!$B$10&amp;" мес."</f>
        <v/>
      </c>
      <c r="P242" s="17" t="inlineStr">
        <is>
          <t>Считаем после чертежей и осмотра стены: панели «водная рябь» и пол с фигурным краем делаются под проект, каркас зависит от основания. Зеркальный пол заклеиваем антискользящей защитной пленкой: гости ходят по нему каждый день.</t>
        </is>
      </c>
    </row>
    <row r="243">
      <c r="A243" s="19" t="n"/>
      <c r="B243" s="19" t="n"/>
      <c r="C243" s="19" t="n"/>
      <c r="D243" s="20" t="inlineStr">
        <is>
          <t>Зеркальная стена 12106 × 3600 мм, пол 12106 × 2000 мм, лайтбокс-логотип 2200 × 1500 мм</t>
        </is>
      </c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inlineStr">
        <is>
          <t>Расчет за 3 р.д. после чертежей и выезда на объект</t>
        </is>
      </c>
      <c r="N243" s="19" t="n"/>
      <c r="O243" s="19" t="n"/>
      <c r="P243" s="19" t="n"/>
    </row>
    <row r="244">
      <c r="A244" s="22" t="n"/>
      <c r="B244" s="22" t="n"/>
      <c r="C244" s="22" t="n"/>
      <c r="D244" s="8" t="inlineStr">
        <is>
          <t xml:space="preserve">   Зеркальные панели «водная рябь» на каркасе, стена</t>
        </is>
      </c>
      <c r="E244" s="22" t="inlineStr">
        <is>
          <t>м²</t>
        </is>
      </c>
      <c r="F244" s="23" t="n">
        <v>43.58</v>
      </c>
      <c r="G244" s="28" t="inlineStr">
        <is>
          <t>По запросу</t>
        </is>
      </c>
      <c r="H244" s="22" t="n"/>
      <c r="I244" s="29" t="n"/>
      <c r="J244" s="28" t="inlineStr">
        <is>
          <t>По запросу</t>
        </is>
      </c>
      <c r="K244" s="22" t="n"/>
      <c r="L244" s="28" t="inlineStr">
        <is>
          <t>По запросу</t>
        </is>
      </c>
      <c r="M244" s="8" t="n"/>
      <c r="N244" s="8" t="n"/>
      <c r="O244" s="22" t="n"/>
      <c r="P244" s="8" t="inlineStr">
        <is>
          <t>12,106 × 3,6 м</t>
        </is>
      </c>
    </row>
    <row r="245">
      <c r="A245" s="22" t="n"/>
      <c r="B245" s="22" t="n"/>
      <c r="C245" s="22" t="n"/>
      <c r="D245" s="8" t="inlineStr">
        <is>
          <t xml:space="preserve">   Напольное покрытие, зеркальный пластик, край волной</t>
        </is>
      </c>
      <c r="E245" s="22" t="inlineStr">
        <is>
          <t>м²</t>
        </is>
      </c>
      <c r="F245" s="23" t="n">
        <v>24.21</v>
      </c>
      <c r="G245" s="28" t="inlineStr">
        <is>
          <t>По запросу</t>
        </is>
      </c>
      <c r="H245" s="22" t="n"/>
      <c r="I245" s="29" t="n"/>
      <c r="J245" s="28" t="inlineStr">
        <is>
          <t>По запросу</t>
        </is>
      </c>
      <c r="K245" s="22" t="n"/>
      <c r="L245" s="28" t="inlineStr">
        <is>
          <t>По запросу</t>
        </is>
      </c>
      <c r="M245" s="8" t="n"/>
      <c r="N245" s="8" t="n"/>
      <c r="O245" s="22" t="n"/>
      <c r="P245" s="8" t="inlineStr">
        <is>
          <t>12,106 × 2,0 м</t>
        </is>
      </c>
    </row>
    <row r="246">
      <c r="A246" s="22" t="n"/>
      <c r="B246" s="22" t="n"/>
      <c r="C246" s="22" t="n"/>
      <c r="D246" s="8" t="inlineStr">
        <is>
          <t xml:space="preserve">   Световой лайтбокс в форме логотипа 2200 × 1500 мм</t>
        </is>
      </c>
      <c r="E246" s="22" t="inlineStr">
        <is>
          <t>шт.</t>
        </is>
      </c>
      <c r="F246" s="23" t="n">
        <v>1</v>
      </c>
      <c r="G246" s="28" t="inlineStr">
        <is>
          <t>По запросу</t>
        </is>
      </c>
      <c r="H246" s="22" t="n"/>
      <c r="I246" s="29" t="n"/>
      <c r="J246" s="28" t="inlineStr">
        <is>
          <t>По запросу</t>
        </is>
      </c>
      <c r="K246" s="22" t="n"/>
      <c r="L246" s="28" t="inlineStr">
        <is>
          <t>По запросу</t>
        </is>
      </c>
      <c r="M246" s="8" t="n"/>
      <c r="N246" s="8" t="n"/>
      <c r="O246" s="22" t="n"/>
      <c r="P246" s="8" t="n"/>
    </row>
    <row r="247">
      <c r="A247" s="19" t="n"/>
      <c r="B247" s="19" t="n"/>
      <c r="C247" s="19" t="n"/>
      <c r="D247" s="20" t="inlineStr">
        <is>
          <t>Монтаж и демонтаж</t>
        </is>
      </c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inlineStr">
        <is>
          <t>Монтаж 1 ночь, демонтаж 1 ночь</t>
        </is>
      </c>
      <c r="N247" s="19" t="n"/>
      <c r="O247" s="19" t="n"/>
      <c r="P247" s="19" t="n"/>
    </row>
    <row r="248">
      <c r="A248" s="22" t="n"/>
      <c r="B248" s="22" t="n"/>
      <c r="C248" s="22" t="n"/>
      <c r="D248" s="8" t="inlineStr">
        <is>
          <t xml:space="preserve">   Монтаж фотозоны</t>
        </is>
      </c>
      <c r="E248" s="22" t="inlineStr">
        <is>
          <t>компл.</t>
        </is>
      </c>
      <c r="F248" s="23" t="n">
        <v>1</v>
      </c>
      <c r="G248" s="28" t="inlineStr">
        <is>
          <t>По запросу</t>
        </is>
      </c>
      <c r="H248" s="22" t="n"/>
      <c r="I248" s="29" t="n"/>
      <c r="J248" s="28" t="inlineStr">
        <is>
          <t>По запросу</t>
        </is>
      </c>
      <c r="K248" s="22" t="n"/>
      <c r="L248" s="28" t="inlineStr">
        <is>
          <t>По запросу</t>
        </is>
      </c>
      <c r="M248" s="8" t="n"/>
      <c r="N248" s="8" t="n"/>
      <c r="O248" s="22" t="n"/>
      <c r="P248" s="8" t="n"/>
    </row>
    <row r="249">
      <c r="A249" s="22" t="n"/>
      <c r="B249" s="22" t="n"/>
      <c r="C249" s="22" t="n"/>
      <c r="D249" s="8" t="inlineStr">
        <is>
          <t xml:space="preserve">   Демонтаж фотозоны</t>
        </is>
      </c>
      <c r="E249" s="22" t="inlineStr">
        <is>
          <t>компл.</t>
        </is>
      </c>
      <c r="F249" s="23" t="n">
        <v>1</v>
      </c>
      <c r="G249" s="28" t="inlineStr">
        <is>
          <t>По запросу</t>
        </is>
      </c>
      <c r="H249" s="22" t="n"/>
      <c r="I249" s="29" t="n"/>
      <c r="J249" s="28" t="inlineStr">
        <is>
          <t>По запросу</t>
        </is>
      </c>
      <c r="K249" s="22" t="n"/>
      <c r="L249" s="28" t="inlineStr">
        <is>
          <t>По запросу</t>
        </is>
      </c>
      <c r="M249" s="8" t="n"/>
      <c r="N249" s="8" t="n"/>
      <c r="O249" s="22" t="n"/>
      <c r="P249" s="8" t="n"/>
    </row>
  </sheetData>
  <autoFilter ref="A4:P249"/>
  <mergeCells count="1">
    <mergeCell ref="A2:P2"/>
  </mergeCells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85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52" customWidth="1" min="3" max="3"/>
    <col width="11" customWidth="1" min="4" max="4"/>
    <col width="15" customWidth="1" min="5" max="5"/>
    <col width="15" customWidth="1" min="6" max="6"/>
    <col width="40" customWidth="1" min="7" max="7"/>
  </cols>
  <sheetData>
    <row r="1">
      <c r="A1" s="13" t="inlineStr">
        <is>
          <t>Прайс ООО «Хэнд-маркетинг» для вендор-листа ГК «Киевская площадь»</t>
        </is>
      </c>
    </row>
    <row r="2">
      <c r="A2" s="38" t="inlineStr">
        <is>
          <t>Цены в рублях без НДС, НДС 22% начисляется сверху. Желтые ячейки: параметры условий, от них считаются КП и сводка.</t>
        </is>
      </c>
    </row>
    <row r="4">
      <c r="A4" s="39" t="inlineStr">
        <is>
          <t>Параметр</t>
        </is>
      </c>
      <c r="B4" s="39" t="inlineStr">
        <is>
          <t>Значение</t>
        </is>
      </c>
      <c r="C4" s="39" t="inlineStr">
        <is>
          <t>Комментарий</t>
        </is>
      </c>
    </row>
    <row r="5">
      <c r="A5" s="40" t="inlineStr">
        <is>
          <t>Ставка НДС, начисляется сверху</t>
        </is>
      </c>
      <c r="B5" s="41" t="n">
        <v>0.22</v>
      </c>
      <c r="C5" s="42" t="inlineStr">
        <is>
          <t>ООО «Хэнд-маркетинг» на ОСНО</t>
        </is>
      </c>
    </row>
    <row r="6">
      <c r="A6" s="40" t="inlineStr">
        <is>
          <t>Скидка участника вендор-листа на работу агентства</t>
        </is>
      </c>
      <c r="B6" s="41" t="n">
        <v>0.1</v>
      </c>
      <c r="C6" s="42" t="inlineStr">
        <is>
          <t>Креатив, дизайн, тексты, CGI, съемка, концепции, эскизы, агентская комиссия. Подрядчики, аренда, персонал, производство: скидка от объема</t>
        </is>
      </c>
    </row>
    <row r="7">
      <c r="A7" s="40" t="inlineStr">
        <is>
          <t>Аванс по производству и закупкам</t>
        </is>
      </c>
      <c r="B7" s="41" t="n">
        <v>0.7</v>
      </c>
      <c r="C7" s="42" t="inlineStr">
        <is>
          <t>Остаток после подписания акта</t>
        </is>
      </c>
    </row>
    <row r="8">
      <c r="A8" s="40" t="inlineStr">
        <is>
          <t>Срок оплаты услуг после акта, рабочих дней</t>
        </is>
      </c>
      <c r="B8" s="43" t="n">
        <v>10</v>
      </c>
      <c r="C8" s="42" t="inlineStr">
        <is>
          <t>Услуги без аванса</t>
        </is>
      </c>
    </row>
    <row r="9">
      <c r="A9" s="40" t="inlineStr">
        <is>
          <t>Фиксация цен на работу агентства, месяцев</t>
        </is>
      </c>
      <c r="B9" s="43" t="n">
        <v>6</v>
      </c>
      <c r="C9" s="42" t="inlineStr">
        <is>
          <t>С даты КП</t>
        </is>
      </c>
    </row>
    <row r="10">
      <c r="A10" s="40" t="inlineStr">
        <is>
          <t>Срок действия цен производства и закупок, месяцев</t>
        </is>
      </c>
      <c r="B10" s="43" t="n">
        <v>3</v>
      </c>
      <c r="C10" s="42" t="inlineStr">
        <is>
          <t>С даты КП, дальше пересчет по ценам поставщиков</t>
        </is>
      </c>
    </row>
    <row r="11">
      <c r="A11" s="40" t="inlineStr">
        <is>
          <t>Аванс по услугам с расходами на подрядчиков</t>
        </is>
      </c>
      <c r="B11" s="41" t="n">
        <v>0.5</v>
      </c>
      <c r="C11" s="42" t="inlineStr">
        <is>
          <t>Съемка с моделями, звук и свет, диджей, звукорежиссер, персонал</t>
        </is>
      </c>
    </row>
    <row r="12">
      <c r="A12" s="40" t="inlineStr">
        <is>
          <t>Доплата за ночной монтаж 23:00-07:00 к стоимости монтажа</t>
        </is>
      </c>
      <c r="B12" s="41" t="n">
        <v>0.3</v>
      </c>
      <c r="C12" s="42" t="inlineStr">
        <is>
          <t>Для позиций 1, 23, 31</t>
        </is>
      </c>
    </row>
    <row r="13">
      <c r="A13" s="40" t="inlineStr">
        <is>
          <t>Доплата за срочный выезд в течение 24 ч к стоимости смен</t>
        </is>
      </c>
      <c r="B13" s="41" t="n">
        <v>0.25</v>
      </c>
      <c r="C13" s="42" t="inlineStr">
        <is>
          <t>Для позиции 3</t>
        </is>
      </c>
    </row>
    <row r="14">
      <c r="A14" s="40" t="inlineStr">
        <is>
          <t>Агентская комиссия на мероприятия</t>
        </is>
      </c>
      <c r="B14" s="41" t="n">
        <v>0.12</v>
      </c>
      <c r="C14" s="42" t="inlineStr">
        <is>
          <t>От суммы сметы мероприятия</t>
        </is>
      </c>
    </row>
    <row r="16">
      <c r="A16" s="6" t="inlineStr">
        <is>
          <t>Поз. ТЗ</t>
        </is>
      </c>
      <c r="B16" s="6" t="inlineStr">
        <is>
          <t>Направление</t>
        </is>
      </c>
      <c r="C16" s="6" t="inlineStr">
        <is>
          <t>Услуга или изделие</t>
        </is>
      </c>
      <c r="D16" s="6" t="inlineStr">
        <is>
          <t>Ед. изм.</t>
        </is>
      </c>
      <c r="E16" s="6" t="inlineStr">
        <is>
          <t>Цена по прайсу, руб. без НДС</t>
        </is>
      </c>
      <c r="F16" s="6" t="inlineStr">
        <is>
          <t>Цена для вендор-листа, руб. без НДС</t>
        </is>
      </c>
      <c r="G16" s="6" t="inlineStr">
        <is>
          <t>Примечание</t>
        </is>
      </c>
    </row>
    <row r="17">
      <c r="A17" s="7" t="n">
        <v>1</v>
      </c>
      <c r="B17" s="8" t="inlineStr">
        <is>
          <t>Рекламно-производственное агентство</t>
        </is>
      </c>
      <c r="C17" s="8" t="inlineStr">
        <is>
          <t>Лайтбокс односторонний 1,2 × 1,8 м, LED-подсветка, изготовление</t>
        </is>
      </c>
      <c r="D17" s="7" t="inlineStr">
        <is>
          <t>шт.</t>
        </is>
      </c>
      <c r="E17" s="44" t="n">
        <v>44000</v>
      </c>
      <c r="F17" s="45">
        <f>E17</f>
        <v/>
      </c>
      <c r="G17" s="8" t="inlineStr">
        <is>
          <t>Профиль алюминиевый, лицевая панель акрил, LED-модули</t>
        </is>
      </c>
    </row>
    <row r="18">
      <c r="A18" s="7" t="n">
        <v>1</v>
      </c>
      <c r="B18" s="8" t="inlineStr">
        <is>
          <t>Рекламно-производственное агентство</t>
        </is>
      </c>
      <c r="C18" s="8" t="inlineStr">
        <is>
          <t>Монтаж лайтбокса на стену, подключение</t>
        </is>
      </c>
      <c r="D18" s="7" t="inlineStr">
        <is>
          <t>шт.</t>
        </is>
      </c>
      <c r="E18" s="44" t="n">
        <v>9000</v>
      </c>
      <c r="F18" s="45">
        <f>E18</f>
        <v/>
      </c>
      <c r="G18" s="8" t="inlineStr"/>
    </row>
    <row r="19">
      <c r="A19" s="7" t="n">
        <v>1</v>
      </c>
      <c r="B19" s="8" t="inlineStr">
        <is>
          <t>Рекламно-производственное агентство</t>
        </is>
      </c>
      <c r="C19" s="8" t="inlineStr">
        <is>
          <t>Доплата за ночной монтаж 23:00-07:00, 30% к монтажу</t>
        </is>
      </c>
      <c r="D19" s="7" t="inlineStr">
        <is>
          <t>компл.</t>
        </is>
      </c>
      <c r="E19" s="44" t="n">
        <v>2700</v>
      </c>
      <c r="F19" s="45">
        <f>E19</f>
        <v/>
      </c>
      <c r="G19" s="8" t="inlineStr">
        <is>
          <t>Только если монтаж ночью</t>
        </is>
      </c>
    </row>
    <row r="20">
      <c r="A20" s="7" t="n">
        <v>1</v>
      </c>
      <c r="B20" s="8" t="inlineStr">
        <is>
          <t>Рекламно-производственное агентство</t>
        </is>
      </c>
      <c r="C20" s="8" t="inlineStr">
        <is>
          <t>Доставка конструкций на объект по Москве</t>
        </is>
      </c>
      <c r="D20" s="7" t="inlineStr">
        <is>
          <t>рейс</t>
        </is>
      </c>
      <c r="E20" s="44" t="n">
        <v>6500</v>
      </c>
      <c r="F20" s="45">
        <f>E20</f>
        <v/>
      </c>
      <c r="G20" s="8" t="inlineStr"/>
    </row>
    <row r="21">
      <c r="A21" s="7" t="n">
        <v>1</v>
      </c>
      <c r="B21" s="8" t="inlineStr">
        <is>
          <t>Рекламно-производственное агентство</t>
        </is>
      </c>
      <c r="C21" s="8" t="inlineStr">
        <is>
          <t>Объемная буква с внутренней подсветкой, высота 40 см</t>
        </is>
      </c>
      <c r="D21" s="7" t="inlineStr">
        <is>
          <t>знак</t>
        </is>
      </c>
      <c r="E21" s="46" t="inlineStr">
        <is>
          <t>По запросу</t>
        </is>
      </c>
      <c r="F21" s="47" t="inlineStr">
        <is>
          <t>По запросу</t>
        </is>
      </c>
      <c r="G21" s="8" t="inlineStr">
        <is>
          <t>Борт ПВХ или алюминий, лицо акрил, LED</t>
        </is>
      </c>
    </row>
    <row r="22">
      <c r="A22" s="7" t="n">
        <v>1</v>
      </c>
      <c r="B22" s="8" t="inlineStr">
        <is>
          <t>Рекламно-производственное агентство</t>
        </is>
      </c>
      <c r="C22" s="8" t="inlineStr">
        <is>
          <t>Блок питания, коммутация, подложка вывески</t>
        </is>
      </c>
      <c r="D22" s="7" t="inlineStr">
        <is>
          <t>компл.</t>
        </is>
      </c>
      <c r="E22" s="46" t="inlineStr">
        <is>
          <t>По запросу</t>
        </is>
      </c>
      <c r="F22" s="47" t="inlineStr">
        <is>
          <t>По запросу</t>
        </is>
      </c>
      <c r="G22" s="8" t="inlineStr"/>
    </row>
    <row r="23">
      <c r="A23" s="7" t="n">
        <v>1</v>
      </c>
      <c r="B23" s="8" t="inlineStr">
        <is>
          <t>Рекламно-производственное агентство</t>
        </is>
      </c>
      <c r="C23" s="8" t="inlineStr">
        <is>
          <t>Монтаж вывески на высоте до 4 м, с вышкой</t>
        </is>
      </c>
      <c r="D23" s="7" t="inlineStr">
        <is>
          <t>компл.</t>
        </is>
      </c>
      <c r="E23" s="46" t="inlineStr">
        <is>
          <t>По запросу</t>
        </is>
      </c>
      <c r="F23" s="47" t="inlineStr">
        <is>
          <t>По запросу</t>
        </is>
      </c>
      <c r="G23" s="8" t="inlineStr"/>
    </row>
    <row r="24">
      <c r="A24" s="7" t="n">
        <v>1</v>
      </c>
      <c r="B24" s="8" t="inlineStr">
        <is>
          <t>Рекламно-производственное агентство</t>
        </is>
      </c>
      <c r="C24" s="8" t="inlineStr">
        <is>
          <t>Пленка с полноцветной печатью и ламинацией, оклейка витрины</t>
        </is>
      </c>
      <c r="D24" s="7" t="inlineStr">
        <is>
          <t>м²</t>
        </is>
      </c>
      <c r="E24" s="44" t="n">
        <v>2200</v>
      </c>
      <c r="F24" s="45">
        <f>E24</f>
        <v/>
      </c>
      <c r="G24" s="8" t="inlineStr">
        <is>
          <t>Печать 1440 dpi, ламинация матовая или глянцевая</t>
        </is>
      </c>
    </row>
    <row r="25">
      <c r="A25" s="7" t="n">
        <v>1</v>
      </c>
      <c r="B25" s="8" t="inlineStr">
        <is>
          <t>Рекламно-производственное агентство</t>
        </is>
      </c>
      <c r="C25" s="8" t="inlineStr">
        <is>
          <t>Напольная фигура ПВХ 5 мм до 1,8 м, полноцветная печать, опора</t>
        </is>
      </c>
      <c r="D25" s="7" t="inlineStr">
        <is>
          <t>шт.</t>
        </is>
      </c>
      <c r="E25" s="44" t="n">
        <v>8500</v>
      </c>
      <c r="F25" s="45">
        <f>E25</f>
        <v/>
      </c>
      <c r="G25" s="8" t="inlineStr"/>
    </row>
    <row r="26">
      <c r="A26" s="7" t="n">
        <v>1</v>
      </c>
      <c r="B26" s="8" t="inlineStr">
        <is>
          <t>Рекламно-производственное агентство</t>
        </is>
      </c>
      <c r="C26" s="8" t="inlineStr">
        <is>
          <t>Выезд на замер по Москве</t>
        </is>
      </c>
      <c r="D26" s="7" t="inlineStr">
        <is>
          <t>выезд</t>
        </is>
      </c>
      <c r="E26" s="46" t="inlineStr">
        <is>
          <t>Бесплатно</t>
        </is>
      </c>
      <c r="F26" s="47" t="inlineStr">
        <is>
          <t>Бесплатно</t>
        </is>
      </c>
      <c r="G26" s="8" t="inlineStr">
        <is>
          <t>Бесплатно. Выезд в течение 1 рабочего дня</t>
        </is>
      </c>
    </row>
    <row r="27">
      <c r="A27" s="7" t="n">
        <v>3</v>
      </c>
      <c r="B27" s="8" t="inlineStr">
        <is>
          <t>Монтажные и демонтажные работы</t>
        </is>
      </c>
      <c r="C27" s="8" t="inlineStr">
        <is>
          <t>Монтажник, смена 8 ч, дневная</t>
        </is>
      </c>
      <c r="D27" s="7" t="inlineStr">
        <is>
          <t>чел.-смена</t>
        </is>
      </c>
      <c r="E27" s="44" t="n">
        <v>6800</v>
      </c>
      <c r="F27" s="45">
        <f>E27</f>
        <v/>
      </c>
      <c r="G27" s="8" t="inlineStr"/>
    </row>
    <row r="28">
      <c r="A28" s="7" t="n">
        <v>3</v>
      </c>
      <c r="B28" s="8" t="inlineStr">
        <is>
          <t>Монтажные и демонтажные работы</t>
        </is>
      </c>
      <c r="C28" s="8" t="inlineStr">
        <is>
          <t>Монтажник, смена 8 ч, ночная</t>
        </is>
      </c>
      <c r="D28" s="7" t="inlineStr">
        <is>
          <t>чел.-смена</t>
        </is>
      </c>
      <c r="E28" s="44" t="n">
        <v>8800</v>
      </c>
      <c r="F28" s="45">
        <f>E28</f>
        <v/>
      </c>
      <c r="G28" s="8" t="inlineStr"/>
    </row>
    <row r="29">
      <c r="A29" s="7" t="n">
        <v>3</v>
      </c>
      <c r="B29" s="8" t="inlineStr">
        <is>
          <t>Монтажные и демонтажные работы</t>
        </is>
      </c>
      <c r="C29" s="8" t="inlineStr">
        <is>
          <t>Грузовой автомобиль до 3 т, рейс по Москве</t>
        </is>
      </c>
      <c r="D29" s="7" t="inlineStr">
        <is>
          <t>рейс</t>
        </is>
      </c>
      <c r="E29" s="44" t="n">
        <v>8500</v>
      </c>
      <c r="F29" s="45">
        <f>E29</f>
        <v/>
      </c>
      <c r="G29" s="8" t="inlineStr"/>
    </row>
    <row r="30">
      <c r="A30" s="7" t="n">
        <v>3</v>
      </c>
      <c r="B30" s="8" t="inlineStr">
        <is>
          <t>Монтажные и демонтажные работы</t>
        </is>
      </c>
      <c r="C30" s="8" t="inlineStr">
        <is>
          <t>Вывоз упаковки и мусора</t>
        </is>
      </c>
      <c r="D30" s="7" t="inlineStr">
        <is>
          <t>рейс</t>
        </is>
      </c>
      <c r="E30" s="44" t="n">
        <v>6500</v>
      </c>
      <c r="F30" s="45">
        <f>E30</f>
        <v/>
      </c>
      <c r="G30" s="8" t="inlineStr"/>
    </row>
    <row r="31">
      <c r="A31" s="7" t="n">
        <v>3</v>
      </c>
      <c r="B31" s="8" t="inlineStr">
        <is>
          <t>Монтажные и демонтажные работы</t>
        </is>
      </c>
      <c r="C31" s="8" t="inlineStr">
        <is>
          <t>Аренда вышки-туры до 6 м с доставкой</t>
        </is>
      </c>
      <c r="D31" s="7" t="inlineStr">
        <is>
          <t>сутки</t>
        </is>
      </c>
      <c r="E31" s="44" t="n">
        <v>4800</v>
      </c>
      <c r="F31" s="45">
        <f>E31</f>
        <v/>
      </c>
      <c r="G31" s="8" t="inlineStr">
        <is>
          <t>Ручной инструмент входит в ставку смены</t>
        </is>
      </c>
    </row>
    <row r="32">
      <c r="A32" s="7" t="n">
        <v>5</v>
      </c>
      <c r="B32" s="8" t="inlineStr">
        <is>
          <t>Пластиковые карты</t>
        </is>
      </c>
      <c r="C32" s="8" t="inlineStr">
        <is>
          <t>Карта ПВХ 0,76 мм CR80, печать 4+4, матовая ламинация, фольга, HiCo, лазерная нумерация</t>
        </is>
      </c>
      <c r="D32" s="7" t="inlineStr">
        <is>
          <t>шт.</t>
        </is>
      </c>
      <c r="E32" s="44" t="n">
        <v>38</v>
      </c>
      <c r="F32" s="45">
        <f>E32</f>
        <v/>
      </c>
      <c r="G32" s="8" t="inlineStr"/>
    </row>
    <row r="33">
      <c r="A33" s="7" t="n">
        <v>5</v>
      </c>
      <c r="B33" s="8" t="inlineStr">
        <is>
          <t>Пластиковые карты</t>
        </is>
      </c>
      <c r="C33" s="8" t="inlineStr">
        <is>
          <t>Клише для тиснения фольгой, подготовка к печати</t>
        </is>
      </c>
      <c r="D33" s="7" t="inlineStr">
        <is>
          <t>компл.</t>
        </is>
      </c>
      <c r="E33" s="44" t="n">
        <v>6000</v>
      </c>
      <c r="F33" s="45">
        <f>E33</f>
        <v/>
      </c>
      <c r="G33" s="8" t="inlineStr">
        <is>
          <t>Один раз на макет</t>
        </is>
      </c>
    </row>
    <row r="34">
      <c r="A34" s="7" t="n">
        <v>5</v>
      </c>
      <c r="B34" s="8" t="inlineStr">
        <is>
          <t>Пластиковые карты</t>
        </is>
      </c>
      <c r="C34" s="8" t="inlineStr">
        <is>
          <t>Пробный образец карты с отделкой и персонализацией</t>
        </is>
      </c>
      <c r="D34" s="7" t="inlineStr">
        <is>
          <t>компл.</t>
        </is>
      </c>
      <c r="E34" s="44" t="n">
        <v>9500</v>
      </c>
      <c r="F34" s="45">
        <f>E34</f>
        <v/>
      </c>
      <c r="G34" s="8" t="inlineStr">
        <is>
          <t>Засчитывается в тираж</t>
        </is>
      </c>
    </row>
    <row r="35">
      <c r="A35" s="7" t="n">
        <v>5</v>
      </c>
      <c r="B35" s="8" t="inlineStr">
        <is>
          <t>Пластиковые карты</t>
        </is>
      </c>
      <c r="C35" s="8" t="inlineStr">
        <is>
          <t>Доставка тиража по Москве</t>
        </is>
      </c>
      <c r="D35" s="7" t="inlineStr">
        <is>
          <t>рейс</t>
        </is>
      </c>
      <c r="E35" s="44" t="n">
        <v>2500</v>
      </c>
      <c r="F35" s="45">
        <f>E35</f>
        <v/>
      </c>
      <c r="G35" s="8" t="inlineStr"/>
    </row>
    <row r="36">
      <c r="A36" s="7" t="n">
        <v>6</v>
      </c>
      <c r="B36" s="8" t="inlineStr">
        <is>
          <t>Брендированные вешалки</t>
        </is>
      </c>
      <c r="C36" s="8" t="inlineStr">
        <is>
          <t>Вешалка флокированная с перекладиной, поворотный крючок, логотип 1 цвет, тираж 200</t>
        </is>
      </c>
      <c r="D36" s="7" t="inlineStr">
        <is>
          <t>шт.</t>
        </is>
      </c>
      <c r="E36" s="44" t="n">
        <v>290</v>
      </c>
      <c r="F36" s="45">
        <f>E36</f>
        <v/>
      </c>
      <c r="G36" s="8" t="inlineStr">
        <is>
          <t>Цвет флока: ближайший из наличия</t>
        </is>
      </c>
    </row>
    <row r="37">
      <c r="A37" s="7" t="n">
        <v>6</v>
      </c>
      <c r="B37" s="8" t="inlineStr">
        <is>
          <t>Брендированные вешалки</t>
        </is>
      </c>
      <c r="C37" s="8" t="inlineStr">
        <is>
          <t>Вешалка флокированная с перекладиной, поворотный крючок, логотип 1 цвет, тираж 500</t>
        </is>
      </c>
      <c r="D37" s="7" t="inlineStr">
        <is>
          <t>шт.</t>
        </is>
      </c>
      <c r="E37" s="44" t="n">
        <v>240</v>
      </c>
      <c r="F37" s="45">
        <f>E37</f>
        <v/>
      </c>
      <c r="G37" s="8" t="inlineStr">
        <is>
          <t>Цвет флока: ближайший из наличия</t>
        </is>
      </c>
    </row>
    <row r="38">
      <c r="A38" s="7" t="n">
        <v>6</v>
      </c>
      <c r="B38" s="8" t="inlineStr">
        <is>
          <t>Брендированные вешалки</t>
        </is>
      </c>
      <c r="C38" s="8" t="inlineStr">
        <is>
          <t>Вешалка флокированная с перекладиной, поворотный крючок, логотип 1 цвет, тираж 1000</t>
        </is>
      </c>
      <c r="D38" s="7" t="inlineStr">
        <is>
          <t>шт.</t>
        </is>
      </c>
      <c r="E38" s="44" t="n">
        <v>210</v>
      </c>
      <c r="F38" s="45">
        <f>E38</f>
        <v/>
      </c>
      <c r="G38" s="8" t="inlineStr">
        <is>
          <t>Цвет флока по Pantone брендбука</t>
        </is>
      </c>
    </row>
    <row r="39">
      <c r="A39" s="7" t="n">
        <v>6</v>
      </c>
      <c r="B39" s="8" t="inlineStr">
        <is>
          <t>Брендированные вешалки</t>
        </is>
      </c>
      <c r="C39" s="8" t="inlineStr">
        <is>
          <t>Образец вешалки с логотипом</t>
        </is>
      </c>
      <c r="D39" s="7" t="inlineStr">
        <is>
          <t>шт.</t>
        </is>
      </c>
      <c r="E39" s="44" t="n">
        <v>3500</v>
      </c>
      <c r="F39" s="45">
        <f>E39</f>
        <v/>
      </c>
      <c r="G39" s="8" t="inlineStr"/>
    </row>
    <row r="40">
      <c r="A40" s="7" t="n">
        <v>6</v>
      </c>
      <c r="B40" s="8" t="inlineStr">
        <is>
          <t>Брендированные вешалки</t>
        </is>
      </c>
      <c r="C40" s="8" t="inlineStr">
        <is>
          <t>Доставка тиража по Москве</t>
        </is>
      </c>
      <c r="D40" s="7" t="inlineStr">
        <is>
          <t>рейс</t>
        </is>
      </c>
      <c r="E40" s="44" t="n">
        <v>6500</v>
      </c>
      <c r="F40" s="45">
        <f>E40</f>
        <v/>
      </c>
      <c r="G40" s="8" t="inlineStr"/>
    </row>
    <row r="41">
      <c r="A41" s="7" t="n">
        <v>7</v>
      </c>
      <c r="B41" s="8" t="inlineStr">
        <is>
          <t>Брендированные тишью</t>
        </is>
      </c>
      <c r="C41" s="8" t="inlineStr">
        <is>
          <t>Тишью 28 г/м² в цвет брендбука, 50 × 70 см, флексопечать паттерна 1 цвет Pantone</t>
        </is>
      </c>
      <c r="D41" s="7" t="inlineStr">
        <is>
          <t>лист</t>
        </is>
      </c>
      <c r="E41" s="44" t="n">
        <v>32</v>
      </c>
      <c r="F41" s="45">
        <f>E41</f>
        <v/>
      </c>
      <c r="G41" s="8" t="inlineStr"/>
    </row>
    <row r="42">
      <c r="A42" s="7" t="n">
        <v>7</v>
      </c>
      <c r="B42" s="8" t="inlineStr">
        <is>
          <t>Брендированные тишью</t>
        </is>
      </c>
      <c r="C42" s="8" t="inlineStr">
        <is>
          <t>Тишью 28 г/м² в цвет брендбука, 70 × 100 см, флексопечать паттерна 1 цвет Pantone</t>
        </is>
      </c>
      <c r="D42" s="7" t="inlineStr">
        <is>
          <t>лист</t>
        </is>
      </c>
      <c r="E42" s="44" t="n">
        <v>54</v>
      </c>
      <c r="F42" s="45">
        <f>E42</f>
        <v/>
      </c>
      <c r="G42" s="8" t="inlineStr"/>
    </row>
    <row r="43">
      <c r="A43" s="7" t="n">
        <v>7</v>
      </c>
      <c r="B43" s="8" t="inlineStr">
        <is>
          <t>Брендированные тишью</t>
        </is>
      </c>
      <c r="C43" s="8" t="inlineStr">
        <is>
          <t>Клише для флексопечати</t>
        </is>
      </c>
      <c r="D43" s="7" t="inlineStr">
        <is>
          <t>формат</t>
        </is>
      </c>
      <c r="E43" s="44" t="n">
        <v>9000</v>
      </c>
      <c r="F43" s="45">
        <f>E43</f>
        <v/>
      </c>
      <c r="G43" s="8" t="inlineStr">
        <is>
          <t>Один раз на макет и формат</t>
        </is>
      </c>
    </row>
    <row r="44">
      <c r="A44" s="7" t="n">
        <v>7</v>
      </c>
      <c r="B44" s="8" t="inlineStr">
        <is>
          <t>Брендированные тишью</t>
        </is>
      </c>
      <c r="C44" s="8" t="inlineStr">
        <is>
          <t>Образец с фирменной печатью</t>
        </is>
      </c>
      <c r="D44" s="7" t="inlineStr">
        <is>
          <t>формат</t>
        </is>
      </c>
      <c r="E44" s="44" t="n">
        <v>6500</v>
      </c>
      <c r="F44" s="45">
        <f>E44</f>
        <v/>
      </c>
      <c r="G44" s="8" t="inlineStr"/>
    </row>
    <row r="45">
      <c r="A45" s="7" t="n">
        <v>7</v>
      </c>
      <c r="B45" s="8" t="inlineStr">
        <is>
          <t>Брендированные тишью</t>
        </is>
      </c>
      <c r="C45" s="8" t="inlineStr">
        <is>
          <t>Доставка по Москве</t>
        </is>
      </c>
      <c r="D45" s="7" t="inlineStr">
        <is>
          <t>рейс</t>
        </is>
      </c>
      <c r="E45" s="44" t="n">
        <v>6500</v>
      </c>
      <c r="F45" s="45">
        <f>E45</f>
        <v/>
      </c>
      <c r="G45" s="8" t="inlineStr"/>
    </row>
    <row r="46">
      <c r="A46" s="7" t="n">
        <v>8</v>
      </c>
      <c r="B46" s="8" t="inlineStr">
        <is>
          <t>Брендированные кофры</t>
        </is>
      </c>
      <c r="C46" s="8" t="inlineStr">
        <is>
          <t>Кофр 150 × 60 × 10 см, саржа 100% хлопок 260 г/м², молния, ручки, кнопка, тираж 200</t>
        </is>
      </c>
      <c r="D46" s="7" t="inlineStr">
        <is>
          <t>шт.</t>
        </is>
      </c>
      <c r="E46" s="44" t="n">
        <v>3100</v>
      </c>
      <c r="F46" s="45">
        <f>E46</f>
        <v/>
      </c>
      <c r="G46" s="8" t="inlineStr"/>
    </row>
    <row r="47">
      <c r="A47" s="7" t="n">
        <v>8</v>
      </c>
      <c r="B47" s="8" t="inlineStr">
        <is>
          <t>Брендированные кофры</t>
        </is>
      </c>
      <c r="C47" s="8" t="inlineStr">
        <is>
          <t>Кофр 150 × 60 × 10 см, саржа 100% хлопок 260 г/м², молния, ручки, кнопка, тираж 500</t>
        </is>
      </c>
      <c r="D47" s="7" t="inlineStr">
        <is>
          <t>шт.</t>
        </is>
      </c>
      <c r="E47" s="44" t="n">
        <v>2700</v>
      </c>
      <c r="F47" s="45">
        <f>E47</f>
        <v/>
      </c>
      <c r="G47" s="8" t="inlineStr"/>
    </row>
    <row r="48">
      <c r="A48" s="7" t="n">
        <v>8</v>
      </c>
      <c r="B48" s="8" t="inlineStr">
        <is>
          <t>Брендированные кофры</t>
        </is>
      </c>
      <c r="C48" s="8" t="inlineStr">
        <is>
          <t>Кофр 150 × 60 × 10 см, саржа 100% хлопок 260 г/м², молния, ручки, кнопка, тираж 1000</t>
        </is>
      </c>
      <c r="D48" s="7" t="inlineStr">
        <is>
          <t>шт.</t>
        </is>
      </c>
      <c r="E48" s="44" t="n">
        <v>2350</v>
      </c>
      <c r="F48" s="45">
        <f>E48</f>
        <v/>
      </c>
      <c r="G48" s="8" t="inlineStr"/>
    </row>
    <row r="49">
      <c r="A49" s="7" t="n">
        <v>8</v>
      </c>
      <c r="B49" s="8" t="inlineStr">
        <is>
          <t>Брендированные кофры</t>
        </is>
      </c>
      <c r="C49" s="8" t="inlineStr">
        <is>
          <t>Шелкография логотипа 1 цвет, верхняя треть кофра</t>
        </is>
      </c>
      <c r="D49" s="7" t="inlineStr">
        <is>
          <t>шт.</t>
        </is>
      </c>
      <c r="E49" s="44" t="n">
        <v>85</v>
      </c>
      <c r="F49" s="45">
        <f>E49</f>
        <v/>
      </c>
      <c r="G49" s="8" t="inlineStr"/>
    </row>
    <row r="50">
      <c r="A50" s="7" t="n">
        <v>8</v>
      </c>
      <c r="B50" s="8" t="inlineStr">
        <is>
          <t>Брендированные кофры</t>
        </is>
      </c>
      <c r="C50" s="8" t="inlineStr">
        <is>
          <t>Печатная форма для шелкографии</t>
        </is>
      </c>
      <c r="D50" s="7" t="inlineStr">
        <is>
          <t>компл.</t>
        </is>
      </c>
      <c r="E50" s="44" t="n">
        <v>3500</v>
      </c>
      <c r="F50" s="45">
        <f>E50</f>
        <v/>
      </c>
      <c r="G50" s="8" t="inlineStr">
        <is>
          <t>Один раз на макет</t>
        </is>
      </c>
    </row>
    <row r="51">
      <c r="A51" s="7" t="n">
        <v>8</v>
      </c>
      <c r="B51" s="8" t="inlineStr">
        <is>
          <t>Брендированные кофры</t>
        </is>
      </c>
      <c r="C51" s="8" t="inlineStr">
        <is>
          <t>Образец кофра с логотипом</t>
        </is>
      </c>
      <c r="D51" s="7" t="inlineStr">
        <is>
          <t>шт.</t>
        </is>
      </c>
      <c r="E51" s="44" t="n">
        <v>9500</v>
      </c>
      <c r="F51" s="45">
        <f>E51</f>
        <v/>
      </c>
      <c r="G51" s="8" t="inlineStr"/>
    </row>
    <row r="52">
      <c r="A52" s="7" t="n">
        <v>8</v>
      </c>
      <c r="B52" s="8" t="inlineStr">
        <is>
          <t>Брендированные кофры</t>
        </is>
      </c>
      <c r="C52" s="8" t="inlineStr">
        <is>
          <t>Доставка по Москве</t>
        </is>
      </c>
      <c r="D52" s="7" t="inlineStr">
        <is>
          <t>рейс</t>
        </is>
      </c>
      <c r="E52" s="44" t="n">
        <v>6500</v>
      </c>
      <c r="F52" s="45">
        <f>E52</f>
        <v/>
      </c>
      <c r="G52" s="8" t="inlineStr">
        <is>
          <t>До 500 шт. в рейс</t>
        </is>
      </c>
    </row>
    <row r="53">
      <c r="A53" s="7" t="n">
        <v>9</v>
      </c>
      <c r="B53" s="8" t="inlineStr">
        <is>
          <t>CGI &amp; AI-студия, CGI-ролики</t>
        </is>
      </c>
      <c r="C53" s="8" t="inlineStr">
        <is>
          <t>Креативная концепция, 2-3 направления</t>
        </is>
      </c>
      <c r="D53" s="7" t="inlineStr">
        <is>
          <t>этап</t>
        </is>
      </c>
      <c r="E53" s="44" t="n">
        <v>55000</v>
      </c>
      <c r="F53" s="45">
        <f>ROUND(E53*(1-Прайс!$B$6),0)</f>
        <v/>
      </c>
      <c r="G53" s="8" t="inlineStr">
        <is>
          <t>2 круга правок</t>
        </is>
      </c>
    </row>
    <row r="54">
      <c r="A54" s="7" t="n">
        <v>9</v>
      </c>
      <c r="B54" s="8" t="inlineStr">
        <is>
          <t>CGI &amp; AI-студия, CGI-ролики</t>
        </is>
      </c>
      <c r="C54" s="8" t="inlineStr">
        <is>
          <t>Раскадровка и аниматик</t>
        </is>
      </c>
      <c r="D54" s="7" t="inlineStr">
        <is>
          <t>этап</t>
        </is>
      </c>
      <c r="E54" s="44" t="n">
        <v>65000</v>
      </c>
      <c r="F54" s="45">
        <f>ROUND(E54*(1-Прайс!$B$6),0)</f>
        <v/>
      </c>
      <c r="G54" s="8" t="inlineStr">
        <is>
          <t>2 круга правок</t>
        </is>
      </c>
    </row>
    <row r="55">
      <c r="A55" s="7" t="n">
        <v>9</v>
      </c>
      <c r="B55" s="8" t="inlineStr">
        <is>
          <t>CGI &amp; AI-студия, CGI-ролики</t>
        </is>
      </c>
      <c r="C55" s="8" t="inlineStr">
        <is>
          <t>Производство мастер-версии 30 с, CGI и AI, 16:9</t>
        </is>
      </c>
      <c r="D55" s="7" t="inlineStr">
        <is>
          <t>ролик</t>
        </is>
      </c>
      <c r="E55" s="44" t="n">
        <v>340000</v>
      </c>
      <c r="F55" s="45">
        <f>ROUND(E55*(1-Прайс!$B$6),0)</f>
        <v/>
      </c>
      <c r="G55" s="8" t="inlineStr">
        <is>
          <t>2 круга правок</t>
        </is>
      </c>
    </row>
    <row r="56">
      <c r="A56" s="7" t="n">
        <v>9</v>
      </c>
      <c r="B56" s="8" t="inlineStr">
        <is>
          <t>CGI &amp; AI-студия, CGI-ролики</t>
        </is>
      </c>
      <c r="C56" s="8" t="inlineStr">
        <is>
          <t>Версия 15 с на основе мастер-версии</t>
        </is>
      </c>
      <c r="D56" s="7" t="inlineStr">
        <is>
          <t>ролик</t>
        </is>
      </c>
      <c r="E56" s="44" t="n">
        <v>45000</v>
      </c>
      <c r="F56" s="45">
        <f>ROUND(E56*(1-Прайс!$B$6),0)</f>
        <v/>
      </c>
      <c r="G56" s="8" t="inlineStr"/>
    </row>
    <row r="57">
      <c r="A57" s="7" t="n">
        <v>9</v>
      </c>
      <c r="B57" s="8" t="inlineStr">
        <is>
          <t>CGI &amp; AI-студия, CGI-ролики</t>
        </is>
      </c>
      <c r="C57" s="8" t="inlineStr">
        <is>
          <t>Адаптация в формат 9:16, версии 15 с и 30 с</t>
        </is>
      </c>
      <c r="D57" s="7" t="inlineStr">
        <is>
          <t>компл.</t>
        </is>
      </c>
      <c r="E57" s="44" t="n">
        <v>65000</v>
      </c>
      <c r="F57" s="45">
        <f>ROUND(E57*(1-Прайс!$B$6),0)</f>
        <v/>
      </c>
      <c r="G57" s="8" t="inlineStr"/>
    </row>
    <row r="58">
      <c r="A58" s="7" t="n">
        <v>9</v>
      </c>
      <c r="B58" s="8" t="inlineStr">
        <is>
          <t>CGI &amp; AI-студия, CGI-ролики</t>
        </is>
      </c>
      <c r="C58" s="8" t="inlineStr">
        <is>
          <t>Монтаж, цветокоррекция, звук, лицензия на музыку</t>
        </is>
      </c>
      <c r="D58" s="7" t="inlineStr">
        <is>
          <t>этап</t>
        </is>
      </c>
      <c r="E58" s="44" t="n">
        <v>70000</v>
      </c>
      <c r="F58" s="45">
        <f>ROUND(E58*(1-Прайс!$B$6),0)</f>
        <v/>
      </c>
      <c r="G58" s="8" t="inlineStr">
        <is>
          <t>2 круга правок</t>
        </is>
      </c>
    </row>
    <row r="59">
      <c r="A59" s="7" t="n">
        <v>9</v>
      </c>
      <c r="B59" s="8" t="inlineStr">
        <is>
          <t>CGI &amp; AI-студия, CGI-ролики</t>
        </is>
      </c>
      <c r="C59" s="8" t="inlineStr">
        <is>
          <t>Секунда CGI/3D-анимации</t>
        </is>
      </c>
      <c r="D59" s="7" t="inlineStr">
        <is>
          <t>сек.</t>
        </is>
      </c>
      <c r="E59" s="44" t="n">
        <v>16000</v>
      </c>
      <c r="F59" s="45">
        <f>ROUND(E59*(1-Прайс!$B$6),0)</f>
        <v/>
      </c>
      <c r="G59" s="8" t="inlineStr">
        <is>
          <t>Прайс для разовых задач</t>
        </is>
      </c>
    </row>
    <row r="60">
      <c r="A60" s="7" t="n">
        <v>9</v>
      </c>
      <c r="B60" s="8" t="inlineStr">
        <is>
          <t>CGI &amp; AI-студия, CGI-ролики</t>
        </is>
      </c>
      <c r="C60" s="8" t="inlineStr">
        <is>
          <t>Секунда AI-видео с доработкой и зачисткой артефактов</t>
        </is>
      </c>
      <c r="D60" s="7" t="inlineStr">
        <is>
          <t>сек.</t>
        </is>
      </c>
      <c r="E60" s="44" t="n">
        <v>9000</v>
      </c>
      <c r="F60" s="45">
        <f>ROUND(E60*(1-Прайс!$B$6),0)</f>
        <v/>
      </c>
      <c r="G60" s="8" t="inlineStr">
        <is>
          <t>Прайс для разовых задач</t>
        </is>
      </c>
    </row>
    <row r="61">
      <c r="A61" s="7" t="n">
        <v>9</v>
      </c>
      <c r="B61" s="8" t="inlineStr">
        <is>
          <t>CGI &amp; AI-студия, CGI-ролики</t>
        </is>
      </c>
      <c r="C61" s="8" t="inlineStr">
        <is>
          <t>Статичный AI-визуал, финальное качество</t>
        </is>
      </c>
      <c r="D61" s="7" t="inlineStr">
        <is>
          <t>шт.</t>
        </is>
      </c>
      <c r="E61" s="44" t="n">
        <v>14000</v>
      </c>
      <c r="F61" s="45">
        <f>ROUND(E61*(1-Прайс!$B$6),0)</f>
        <v/>
      </c>
      <c r="G61" s="8" t="inlineStr">
        <is>
          <t>Прайс для разовых задач</t>
        </is>
      </c>
    </row>
    <row r="62">
      <c r="A62" s="7" t="n">
        <v>10</v>
      </c>
      <c r="B62" s="8" t="inlineStr">
        <is>
          <t>Брендинг</t>
        </is>
      </c>
      <c r="C62" s="8" t="inlineStr">
        <is>
          <t>Исследование и бриф</t>
        </is>
      </c>
      <c r="D62" s="7" t="inlineStr">
        <is>
          <t>этап</t>
        </is>
      </c>
      <c r="E62" s="44" t="n">
        <v>40000</v>
      </c>
      <c r="F62" s="45">
        <f>ROUND(E62*(1-Прайс!$B$6),0)</f>
        <v/>
      </c>
      <c r="G62" s="8" t="inlineStr"/>
    </row>
    <row r="63">
      <c r="A63" s="7" t="n">
        <v>10</v>
      </c>
      <c r="B63" s="8" t="inlineStr">
        <is>
          <t>Брендинг</t>
        </is>
      </c>
      <c r="C63" s="8" t="inlineStr">
        <is>
          <t>Три концепции: ключевой визуал и логотип кампании</t>
        </is>
      </c>
      <c r="D63" s="7" t="inlineStr">
        <is>
          <t>этап</t>
        </is>
      </c>
      <c r="E63" s="44" t="n">
        <v>130000</v>
      </c>
      <c r="F63" s="45">
        <f>ROUND(E63*(1-Прайс!$B$6),0)</f>
        <v/>
      </c>
      <c r="G63" s="8" t="inlineStr">
        <is>
          <t>2 круга правок</t>
        </is>
      </c>
    </row>
    <row r="64">
      <c r="A64" s="7" t="n">
        <v>10</v>
      </c>
      <c r="B64" s="8" t="inlineStr">
        <is>
          <t>Брендинг</t>
        </is>
      </c>
      <c r="C64" s="8" t="inlineStr">
        <is>
          <t>Разработка выбранной концепции</t>
        </is>
      </c>
      <c r="D64" s="7" t="inlineStr">
        <is>
          <t>этап</t>
        </is>
      </c>
      <c r="E64" s="44" t="n">
        <v>95000</v>
      </c>
      <c r="F64" s="45">
        <f>ROUND(E64*(1-Прайс!$B$6),0)</f>
        <v/>
      </c>
      <c r="G64" s="8" t="inlineStr">
        <is>
          <t>2 круга правок</t>
        </is>
      </c>
    </row>
    <row r="65">
      <c r="A65" s="7" t="n">
        <v>10</v>
      </c>
      <c r="B65" s="8" t="inlineStr">
        <is>
          <t>Брендинг</t>
        </is>
      </c>
      <c r="C65" s="8" t="inlineStr">
        <is>
          <t>Гайдлайн кампании 10-15 страниц</t>
        </is>
      </c>
      <c r="D65" s="7" t="inlineStr">
        <is>
          <t>шт.</t>
        </is>
      </c>
      <c r="E65" s="44" t="n">
        <v>65000</v>
      </c>
      <c r="F65" s="45">
        <f>ROUND(E65*(1-Прайс!$B$6),0)</f>
        <v/>
      </c>
      <c r="G65" s="8" t="inlineStr"/>
    </row>
    <row r="66">
      <c r="A66" s="7" t="n">
        <v>10</v>
      </c>
      <c r="B66" s="8" t="inlineStr">
        <is>
          <t>Брендинг</t>
        </is>
      </c>
      <c r="C66" s="8" t="inlineStr">
        <is>
          <t>Адаптация на носитель</t>
        </is>
      </c>
      <c r="D66" s="7" t="inlineStr">
        <is>
          <t>носитель</t>
        </is>
      </c>
      <c r="E66" s="44" t="n">
        <v>9000</v>
      </c>
      <c r="F66" s="45">
        <f>ROUND(E66*(1-Прайс!$B$6),0)</f>
        <v/>
      </c>
      <c r="G66" s="8" t="inlineStr"/>
    </row>
    <row r="67">
      <c r="A67" s="7" t="n">
        <v>11</v>
      </c>
      <c r="B67" s="8" t="inlineStr">
        <is>
          <t>Дизайн макетов</t>
        </is>
      </c>
      <c r="C67" s="8" t="inlineStr">
        <is>
          <t>Адаптация готового ключевого визуала, один формат</t>
        </is>
      </c>
      <c r="D67" s="7" t="inlineStr">
        <is>
          <t>формат</t>
        </is>
      </c>
      <c r="E67" s="44" t="n">
        <v>2900</v>
      </c>
      <c r="F67" s="45">
        <f>ROUND(E67*(1-Прайс!$B$6),0)</f>
        <v/>
      </c>
      <c r="G67" s="8" t="inlineStr">
        <is>
          <t>2 круга правок</t>
        </is>
      </c>
    </row>
    <row r="68">
      <c r="A68" s="7" t="n">
        <v>11</v>
      </c>
      <c r="B68" s="8" t="inlineStr">
        <is>
          <t>Дизайн макетов</t>
        </is>
      </c>
      <c r="C68" s="8" t="inlineStr">
        <is>
          <t>Макет с нуля по брендбуку (листовка А5)</t>
        </is>
      </c>
      <c r="D68" s="7" t="inlineStr">
        <is>
          <t>макет</t>
        </is>
      </c>
      <c r="E68" s="44" t="n">
        <v>19000</v>
      </c>
      <c r="F68" s="45">
        <f>ROUND(E68*(1-Прайс!$B$6),0)</f>
        <v/>
      </c>
      <c r="G68" s="8" t="inlineStr">
        <is>
          <t>2 круга правок</t>
        </is>
      </c>
    </row>
    <row r="69">
      <c r="A69" s="7" t="n">
        <v>11</v>
      </c>
      <c r="B69" s="8" t="inlineStr">
        <is>
          <t>Дизайн макетов</t>
        </is>
      </c>
      <c r="C69" s="8" t="inlineStr">
        <is>
          <t>Час работы дизайнера</t>
        </is>
      </c>
      <c r="D69" s="7" t="inlineStr">
        <is>
          <t>час</t>
        </is>
      </c>
      <c r="E69" s="44" t="n">
        <v>3500</v>
      </c>
      <c r="F69" s="45">
        <f>ROUND(E69*(1-Прайс!$B$6),0)</f>
        <v/>
      </c>
      <c r="G69" s="8" t="inlineStr"/>
    </row>
    <row r="70">
      <c r="A70" s="7" t="n">
        <v>12</v>
      </c>
      <c r="B70" s="8" t="inlineStr">
        <is>
          <t>Написание текстов</t>
        </is>
      </c>
      <c r="C70" s="8" t="inlineStr">
        <is>
          <t>Пост для соцсетей</t>
        </is>
      </c>
      <c r="D70" s="7" t="inlineStr">
        <is>
          <t>пост</t>
        </is>
      </c>
      <c r="E70" s="44" t="n">
        <v>2800</v>
      </c>
      <c r="F70" s="45">
        <f>ROUND(E70*(1-Прайс!$B$6),0)</f>
        <v/>
      </c>
      <c r="G70" s="8" t="inlineStr">
        <is>
          <t>2 круга правок</t>
        </is>
      </c>
    </row>
    <row r="71">
      <c r="A71" s="7" t="n">
        <v>12</v>
      </c>
      <c r="B71" s="8" t="inlineStr">
        <is>
          <t>Написание текстов</t>
        </is>
      </c>
      <c r="C71" s="8" t="inlineStr">
        <is>
          <t>Пресс-релиз до 2000 знаков</t>
        </is>
      </c>
      <c r="D71" s="7" t="inlineStr">
        <is>
          <t>шт.</t>
        </is>
      </c>
      <c r="E71" s="44" t="n">
        <v>11000</v>
      </c>
      <c r="F71" s="45">
        <f>ROUND(E71*(1-Прайс!$B$6),0)</f>
        <v/>
      </c>
      <c r="G71" s="8" t="inlineStr">
        <is>
          <t>2 круга правок</t>
        </is>
      </c>
    </row>
    <row r="72">
      <c r="A72" s="7" t="n">
        <v>12</v>
      </c>
      <c r="B72" s="8" t="inlineStr">
        <is>
          <t>Написание текстов</t>
        </is>
      </c>
      <c r="C72" s="8" t="inlineStr">
        <is>
          <t>Текст для навигации или таблички</t>
        </is>
      </c>
      <c r="D72" s="7" t="inlineStr">
        <is>
          <t>позиция</t>
        </is>
      </c>
      <c r="E72" s="44" t="n">
        <v>600</v>
      </c>
      <c r="F72" s="45">
        <f>ROUND(E72*(1-Прайс!$B$6),0)</f>
        <v/>
      </c>
      <c r="G72" s="8" t="inlineStr"/>
    </row>
    <row r="73">
      <c r="A73" s="7" t="n">
        <v>12</v>
      </c>
      <c r="B73" s="8" t="inlineStr">
        <is>
          <t>Написание текстов</t>
        </is>
      </c>
      <c r="C73" s="8" t="inlineStr">
        <is>
          <t>1000 знаков текста</t>
        </is>
      </c>
      <c r="D73" s="7" t="inlineStr">
        <is>
          <t>1000 зн.</t>
        </is>
      </c>
      <c r="E73" s="44" t="n">
        <v>2500</v>
      </c>
      <c r="F73" s="45">
        <f>ROUND(E73*(1-Прайс!$B$6),0)</f>
        <v/>
      </c>
      <c r="G73" s="8" t="inlineStr">
        <is>
          <t>Прайс для разовых задач</t>
        </is>
      </c>
    </row>
    <row r="74">
      <c r="A74" s="7" t="n">
        <v>13</v>
      </c>
      <c r="B74" s="8" t="inlineStr">
        <is>
          <t>Продюсер съемок</t>
        </is>
      </c>
      <c r="C74" s="8" t="inlineStr">
        <is>
          <t>Продюсер съемки, смена</t>
        </is>
      </c>
      <c r="D74" s="7" t="inlineStr">
        <is>
          <t>смена</t>
        </is>
      </c>
      <c r="E74" s="44" t="n">
        <v>38000</v>
      </c>
      <c r="F74" s="45">
        <f>ROUND(E74*(1-Прайс!$B$6),0)</f>
        <v/>
      </c>
      <c r="G74" s="8" t="inlineStr">
        <is>
          <t>Отдельно: 10 процентов от сметы съемки</t>
        </is>
      </c>
    </row>
    <row r="75">
      <c r="A75" s="7" t="n">
        <v>13</v>
      </c>
      <c r="B75" s="8" t="inlineStr">
        <is>
          <t>Продюсер съемок</t>
        </is>
      </c>
      <c r="C75" s="8" t="inlineStr">
        <is>
          <t>Фотограф, смена 10 ч</t>
        </is>
      </c>
      <c r="D75" s="7" t="inlineStr">
        <is>
          <t>смена</t>
        </is>
      </c>
      <c r="E75" s="44" t="n">
        <v>48000</v>
      </c>
      <c r="F75" s="45">
        <f>ROUND(E75*(1-Прайс!$B$6),0)</f>
        <v/>
      </c>
      <c r="G75" s="8" t="inlineStr"/>
    </row>
    <row r="76">
      <c r="A76" s="7" t="n">
        <v>13</v>
      </c>
      <c r="B76" s="8" t="inlineStr">
        <is>
          <t>Продюсер съемок</t>
        </is>
      </c>
      <c r="C76" s="8" t="inlineStr">
        <is>
          <t>Видеограф с камерой и стабилизатором, смена 10 ч</t>
        </is>
      </c>
      <c r="D76" s="7" t="inlineStr">
        <is>
          <t>смена</t>
        </is>
      </c>
      <c r="E76" s="44" t="n">
        <v>58000</v>
      </c>
      <c r="F76" s="45">
        <f>ROUND(E76*(1-Прайс!$B$6),0)</f>
        <v/>
      </c>
      <c r="G76" s="8" t="inlineStr"/>
    </row>
    <row r="77">
      <c r="A77" s="7" t="n">
        <v>13</v>
      </c>
      <c r="B77" s="8" t="inlineStr">
        <is>
          <t>Продюсер съемок</t>
        </is>
      </c>
      <c r="C77" s="8" t="inlineStr">
        <is>
          <t>Свет и грип, комплект на смену</t>
        </is>
      </c>
      <c r="D77" s="7" t="inlineStr">
        <is>
          <t>компл.</t>
        </is>
      </c>
      <c r="E77" s="44" t="n">
        <v>38000</v>
      </c>
      <c r="F77" s="45">
        <f>E77</f>
        <v/>
      </c>
      <c r="G77" s="8" t="inlineStr"/>
    </row>
    <row r="78">
      <c r="A78" s="7" t="n">
        <v>13</v>
      </c>
      <c r="B78" s="8" t="inlineStr">
        <is>
          <t>Продюсер съемок</t>
        </is>
      </c>
      <c r="C78" s="8" t="inlineStr">
        <is>
          <t>Модель, смена 10 ч, с релизом на использование изображения</t>
        </is>
      </c>
      <c r="D78" s="7" t="inlineStr">
        <is>
          <t>чел.</t>
        </is>
      </c>
      <c r="E78" s="44" t="n">
        <v>48000</v>
      </c>
      <c r="F78" s="45">
        <f>E78</f>
        <v/>
      </c>
      <c r="G78" s="8" t="inlineStr">
        <is>
          <t>Релиз на срок и территорию по договору</t>
        </is>
      </c>
    </row>
    <row r="79">
      <c r="A79" s="7" t="n">
        <v>13</v>
      </c>
      <c r="B79" s="8" t="inlineStr">
        <is>
          <t>Продюсер съемок</t>
        </is>
      </c>
      <c r="C79" s="8" t="inlineStr">
        <is>
          <t>Стилист</t>
        </is>
      </c>
      <c r="D79" s="7" t="inlineStr">
        <is>
          <t>смена</t>
        </is>
      </c>
      <c r="E79" s="44" t="n">
        <v>27000</v>
      </c>
      <c r="F79" s="45">
        <f>E79</f>
        <v/>
      </c>
      <c r="G79" s="8" t="inlineStr"/>
    </row>
    <row r="80">
      <c r="A80" s="7" t="n">
        <v>13</v>
      </c>
      <c r="B80" s="8" t="inlineStr">
        <is>
          <t>Продюсер съемок</t>
        </is>
      </c>
      <c r="C80" s="8" t="inlineStr">
        <is>
          <t>Визажист</t>
        </is>
      </c>
      <c r="D80" s="7" t="inlineStr">
        <is>
          <t>смена</t>
        </is>
      </c>
      <c r="E80" s="44" t="n">
        <v>22000</v>
      </c>
      <c r="F80" s="45">
        <f>E80</f>
        <v/>
      </c>
      <c r="G80" s="8" t="inlineStr"/>
    </row>
    <row r="81">
      <c r="A81" s="7" t="n">
        <v>13</v>
      </c>
      <c r="B81" s="8" t="inlineStr">
        <is>
          <t>Продюсер съемок</t>
        </is>
      </c>
      <c r="C81" s="8" t="inlineStr">
        <is>
          <t>Реквизит, закупка и аренда</t>
        </is>
      </c>
      <c r="D81" s="7" t="inlineStr">
        <is>
          <t>компл.</t>
        </is>
      </c>
      <c r="E81" s="44" t="n">
        <v>32000</v>
      </c>
      <c r="F81" s="45">
        <f>E81</f>
        <v/>
      </c>
      <c r="G81" s="8" t="inlineStr"/>
    </row>
    <row r="82">
      <c r="A82" s="7" t="n">
        <v>13</v>
      </c>
      <c r="B82" s="8" t="inlineStr">
        <is>
          <t>Продюсер съемок</t>
        </is>
      </c>
      <c r="C82" s="8" t="inlineStr">
        <is>
          <t>Ассистент</t>
        </is>
      </c>
      <c r="D82" s="7" t="inlineStr">
        <is>
          <t>смена</t>
        </is>
      </c>
      <c r="E82" s="44" t="n">
        <v>9000</v>
      </c>
      <c r="F82" s="45">
        <f>E82</f>
        <v/>
      </c>
      <c r="G82" s="8" t="inlineStr"/>
    </row>
    <row r="83">
      <c r="A83" s="7" t="n">
        <v>13</v>
      </c>
      <c r="B83" s="8" t="inlineStr">
        <is>
          <t>Продюсер съемок</t>
        </is>
      </c>
      <c r="C83" s="8" t="inlineStr">
        <is>
          <t>Транспорт группы и техники</t>
        </is>
      </c>
      <c r="D83" s="7" t="inlineStr">
        <is>
          <t>компл.</t>
        </is>
      </c>
      <c r="E83" s="44" t="n">
        <v>13000</v>
      </c>
      <c r="F83" s="45">
        <f>E83</f>
        <v/>
      </c>
      <c r="G83" s="8" t="inlineStr"/>
    </row>
    <row r="84">
      <c r="A84" s="7" t="n">
        <v>13</v>
      </c>
      <c r="B84" s="8" t="inlineStr">
        <is>
          <t>Продюсер съемок</t>
        </is>
      </c>
      <c r="C84" s="8" t="inlineStr">
        <is>
          <t>Ретушь фотографии</t>
        </is>
      </c>
      <c r="D84" s="7" t="inlineStr">
        <is>
          <t>кадр</t>
        </is>
      </c>
      <c r="E84" s="44" t="n">
        <v>1600</v>
      </c>
      <c r="F84" s="45">
        <f>ROUND(E84*(1-Прайс!$B$6),0)</f>
        <v/>
      </c>
      <c r="G84" s="8" t="inlineStr"/>
    </row>
    <row r="85">
      <c r="A85" s="7" t="n">
        <v>13</v>
      </c>
      <c r="B85" s="8" t="inlineStr">
        <is>
          <t>Продюсер съемок</t>
        </is>
      </c>
      <c r="C85" s="8" t="inlineStr">
        <is>
          <t>Монтаж ролика 30 с, цвет, звук</t>
        </is>
      </c>
      <c r="D85" s="7" t="inlineStr">
        <is>
          <t>ролик</t>
        </is>
      </c>
      <c r="E85" s="44" t="n">
        <v>45000</v>
      </c>
      <c r="F85" s="45">
        <f>ROUND(E85*(1-Прайс!$B$6),0)</f>
        <v/>
      </c>
      <c r="G85" s="8" t="inlineStr"/>
    </row>
    <row r="86">
      <c r="A86" s="7" t="n">
        <v>13</v>
      </c>
      <c r="B86" s="8" t="inlineStr">
        <is>
          <t>Продюсер съемок</t>
        </is>
      </c>
      <c r="C86" s="8" t="inlineStr">
        <is>
          <t>Питание группы</t>
        </is>
      </c>
      <c r="D86" s="7" t="inlineStr">
        <is>
          <t>компл.</t>
        </is>
      </c>
      <c r="E86" s="44" t="n">
        <v>16000</v>
      </c>
      <c r="F86" s="45">
        <f>E86</f>
        <v/>
      </c>
      <c r="G86" s="8" t="inlineStr"/>
    </row>
    <row r="87">
      <c r="A87" s="7" t="n">
        <v>14</v>
      </c>
      <c r="B87" s="8" t="inlineStr">
        <is>
          <t>Фотограф</t>
        </is>
      </c>
      <c r="C87" s="8" t="inlineStr">
        <is>
          <t>Фотограф, репортаж, час (минимум 2 ч)</t>
        </is>
      </c>
      <c r="D87" s="7" t="inlineStr">
        <is>
          <t>час</t>
        </is>
      </c>
      <c r="E87" s="44" t="n">
        <v>7000</v>
      </c>
      <c r="F87" s="45">
        <f>ROUND(E87*(1-Прайс!$B$6),0)</f>
        <v/>
      </c>
      <c r="G87" s="8" t="inlineStr">
        <is>
          <t>35 обработанных кадров за час</t>
        </is>
      </c>
    </row>
    <row r="88">
      <c r="A88" s="7" t="n">
        <v>14</v>
      </c>
      <c r="B88" s="8" t="inlineStr">
        <is>
          <t>Фотограф</t>
        </is>
      </c>
      <c r="C88" s="8" t="inlineStr">
        <is>
          <t>Фотограф, день 10 ч</t>
        </is>
      </c>
      <c r="D88" s="7" t="inlineStr">
        <is>
          <t>день</t>
        </is>
      </c>
      <c r="E88" s="44" t="n">
        <v>55000</v>
      </c>
      <c r="F88" s="45">
        <f>ROUND(E88*(1-Прайс!$B$6),0)</f>
        <v/>
      </c>
      <c r="G88" s="8" t="inlineStr">
        <is>
          <t>Прайс</t>
        </is>
      </c>
    </row>
    <row r="89">
      <c r="A89" s="7" t="n">
        <v>14</v>
      </c>
      <c r="B89" s="8" t="inlineStr">
        <is>
          <t>Фотограф</t>
        </is>
      </c>
      <c r="C89" s="8" t="inlineStr">
        <is>
          <t>Интерьерная съемка, обработанный кадр</t>
        </is>
      </c>
      <c r="D89" s="7" t="inlineStr">
        <is>
          <t>кадр</t>
        </is>
      </c>
      <c r="E89" s="44" t="n">
        <v>2300</v>
      </c>
      <c r="F89" s="45">
        <f>ROUND(E89*(1-Прайс!$B$6),0)</f>
        <v/>
      </c>
      <c r="G89" s="8" t="inlineStr">
        <is>
          <t>Свет фотографа</t>
        </is>
      </c>
    </row>
    <row r="90">
      <c r="A90" s="7" t="n">
        <v>14</v>
      </c>
      <c r="B90" s="8" t="inlineStr">
        <is>
          <t>Фотограф</t>
        </is>
      </c>
      <c r="C90" s="8" t="inlineStr">
        <is>
          <t>Предметная съемка на белом фоне, кадр</t>
        </is>
      </c>
      <c r="D90" s="7" t="inlineStr">
        <is>
          <t>кадр</t>
        </is>
      </c>
      <c r="E90" s="44" t="n">
        <v>1300</v>
      </c>
      <c r="F90" s="45">
        <f>ROUND(E90*(1-Прайс!$B$6),0)</f>
        <v/>
      </c>
      <c r="G90" s="8" t="inlineStr">
        <is>
          <t>Вырез фона включен</t>
        </is>
      </c>
    </row>
    <row r="91">
      <c r="A91" s="7" t="n">
        <v>15</v>
      </c>
      <c r="B91" s="8" t="inlineStr">
        <is>
          <t>Видеограф</t>
        </is>
      </c>
      <c r="C91" s="8" t="inlineStr">
        <is>
          <t>Видеограф, час (минимум 2 ч)</t>
        </is>
      </c>
      <c r="D91" s="7" t="inlineStr">
        <is>
          <t>час</t>
        </is>
      </c>
      <c r="E91" s="44" t="n">
        <v>7500</v>
      </c>
      <c r="F91" s="45">
        <f>ROUND(E91*(1-Прайс!$B$6),0)</f>
        <v/>
      </c>
      <c r="G91" s="8" t="inlineStr"/>
    </row>
    <row r="92">
      <c r="A92" s="7" t="n">
        <v>15</v>
      </c>
      <c r="B92" s="8" t="inlineStr">
        <is>
          <t>Видеограф</t>
        </is>
      </c>
      <c r="C92" s="8" t="inlineStr">
        <is>
          <t>Видеограф, день 10 ч</t>
        </is>
      </c>
      <c r="D92" s="7" t="inlineStr">
        <is>
          <t>день</t>
        </is>
      </c>
      <c r="E92" s="44" t="n">
        <v>60000</v>
      </c>
      <c r="F92" s="45">
        <f>ROUND(E92*(1-Прайс!$B$6),0)</f>
        <v/>
      </c>
      <c r="G92" s="8" t="inlineStr">
        <is>
          <t>Прайс</t>
        </is>
      </c>
    </row>
    <row r="93">
      <c r="A93" s="7" t="n">
        <v>15</v>
      </c>
      <c r="B93" s="8" t="inlineStr">
        <is>
          <t>Видеограф</t>
        </is>
      </c>
      <c r="C93" s="8" t="inlineStr">
        <is>
          <t>Монтаж, минута готового видео</t>
        </is>
      </c>
      <c r="D93" s="7" t="inlineStr">
        <is>
          <t>мин.</t>
        </is>
      </c>
      <c r="E93" s="44" t="n">
        <v>18000</v>
      </c>
      <c r="F93" s="45">
        <f>ROUND(E93*(1-Прайс!$B$6),0)</f>
        <v/>
      </c>
      <c r="G93" s="8" t="inlineStr">
        <is>
          <t>Прайс</t>
        </is>
      </c>
    </row>
    <row r="94">
      <c r="A94" s="7" t="n">
        <v>15</v>
      </c>
      <c r="B94" s="8" t="inlineStr">
        <is>
          <t>Видеограф</t>
        </is>
      </c>
      <c r="C94" s="8" t="inlineStr">
        <is>
          <t>Отчетный ролик 60-90 с, 16:9, 4K</t>
        </is>
      </c>
      <c r="D94" s="7" t="inlineStr">
        <is>
          <t>ролик</t>
        </is>
      </c>
      <c r="E94" s="44" t="n">
        <v>28000</v>
      </c>
      <c r="F94" s="45">
        <f>ROUND(E94*(1-Прайс!$B$6),0)</f>
        <v/>
      </c>
      <c r="G94" s="8" t="inlineStr"/>
    </row>
    <row r="95">
      <c r="A95" s="7" t="n">
        <v>15</v>
      </c>
      <c r="B95" s="8" t="inlineStr">
        <is>
          <t>Видеограф</t>
        </is>
      </c>
      <c r="C95" s="8" t="inlineStr">
        <is>
          <t>Reels 15-30 с, 9:16, сдача в день мероприятия</t>
        </is>
      </c>
      <c r="D95" s="7" t="inlineStr">
        <is>
          <t>шт.</t>
        </is>
      </c>
      <c r="E95" s="44" t="n">
        <v>9000</v>
      </c>
      <c r="F95" s="45">
        <f>ROUND(E95*(1-Прайс!$B$6),0)</f>
        <v/>
      </c>
      <c r="G95" s="8" t="inlineStr"/>
    </row>
    <row r="96">
      <c r="A96" s="7" t="n">
        <v>15</v>
      </c>
      <c r="B96" s="8" t="inlineStr">
        <is>
          <t>Видеограф</t>
        </is>
      </c>
      <c r="C96" s="8" t="inlineStr">
        <is>
          <t>Съемка FPV-дроном в помещении, до 2 ч</t>
        </is>
      </c>
      <c r="D96" s="7" t="inlineStr">
        <is>
          <t>выезд</t>
        </is>
      </c>
      <c r="E96" s="44" t="n">
        <v>30000</v>
      </c>
      <c r="F96" s="45">
        <f>E96</f>
        <v/>
      </c>
      <c r="G96" s="8" t="inlineStr">
        <is>
          <t>Внутри объекта, без разрешения на воздушное пространство</t>
        </is>
      </c>
    </row>
    <row r="97">
      <c r="A97" s="7" t="n">
        <v>16</v>
      </c>
      <c r="B97" s="8" t="inlineStr">
        <is>
          <t>Мерч, корпоративные подарки</t>
        </is>
      </c>
      <c r="C97" s="8" t="inlineStr">
        <is>
          <t>Худи, хлопок с начесом от 320 г/м², вышивка 10 × 10 см, тираж 100</t>
        </is>
      </c>
      <c r="D97" s="7" t="inlineStr">
        <is>
          <t>шт.</t>
        </is>
      </c>
      <c r="E97" s="46" t="inlineStr">
        <is>
          <t>По запросу</t>
        </is>
      </c>
      <c r="F97" s="47" t="inlineStr">
        <is>
          <t>По запросу</t>
        </is>
      </c>
      <c r="G97" s="8" t="inlineStr"/>
    </row>
    <row r="98">
      <c r="A98" s="7" t="n">
        <v>16</v>
      </c>
      <c r="B98" s="8" t="inlineStr">
        <is>
          <t>Мерч, корпоративные подарки</t>
        </is>
      </c>
      <c r="C98" s="8" t="inlineStr">
        <is>
          <t>Худи, хлопок с начесом от 320 г/м², вышивка 10 × 10 см, тираж 500</t>
        </is>
      </c>
      <c r="D98" s="7" t="inlineStr">
        <is>
          <t>шт.</t>
        </is>
      </c>
      <c r="E98" s="46" t="inlineStr">
        <is>
          <t>По запросу</t>
        </is>
      </c>
      <c r="F98" s="47" t="inlineStr">
        <is>
          <t>По запросу</t>
        </is>
      </c>
      <c r="G98" s="8" t="inlineStr"/>
    </row>
    <row r="99">
      <c r="A99" s="7" t="n">
        <v>16</v>
      </c>
      <c r="B99" s="8" t="inlineStr">
        <is>
          <t>Мерч, корпоративные подарки</t>
        </is>
      </c>
      <c r="C99" s="8" t="inlineStr">
        <is>
          <t>Шопер, хлопок 220 г/м², шелкография 1 цвет, тираж 100</t>
        </is>
      </c>
      <c r="D99" s="7" t="inlineStr">
        <is>
          <t>шт.</t>
        </is>
      </c>
      <c r="E99" s="44" t="n">
        <v>590</v>
      </c>
      <c r="F99" s="45">
        <f>E99</f>
        <v/>
      </c>
      <c r="G99" s="8" t="inlineStr"/>
    </row>
    <row r="100">
      <c r="A100" s="7" t="n">
        <v>16</v>
      </c>
      <c r="B100" s="8" t="inlineStr">
        <is>
          <t>Мерч, корпоративные подарки</t>
        </is>
      </c>
      <c r="C100" s="8" t="inlineStr">
        <is>
          <t>Шопер, хлопок 220 г/м², шелкография 1 цвет, тираж 500</t>
        </is>
      </c>
      <c r="D100" s="7" t="inlineStr">
        <is>
          <t>шт.</t>
        </is>
      </c>
      <c r="E100" s="44" t="n">
        <v>390</v>
      </c>
      <c r="F100" s="45">
        <f>E100</f>
        <v/>
      </c>
      <c r="G100" s="8" t="inlineStr"/>
    </row>
    <row r="101">
      <c r="A101" s="7" t="n">
        <v>16</v>
      </c>
      <c r="B101" s="8" t="inlineStr">
        <is>
          <t>Мерч, корпоративные подарки</t>
        </is>
      </c>
      <c r="C101" s="8" t="inlineStr">
        <is>
          <t>Термокружка 350 мл, лазерная гравировка, тираж 100</t>
        </is>
      </c>
      <c r="D101" s="7" t="inlineStr">
        <is>
          <t>шт.</t>
        </is>
      </c>
      <c r="E101" s="44" t="n">
        <v>990</v>
      </c>
      <c r="F101" s="45">
        <f>E101</f>
        <v/>
      </c>
      <c r="G101" s="8" t="inlineStr"/>
    </row>
    <row r="102">
      <c r="A102" s="7" t="n">
        <v>16</v>
      </c>
      <c r="B102" s="8" t="inlineStr">
        <is>
          <t>Мерч, корпоративные подарки</t>
        </is>
      </c>
      <c r="C102" s="8" t="inlineStr">
        <is>
          <t>Термокружка 350 мл, лазерная гравировка, тираж 500</t>
        </is>
      </c>
      <c r="D102" s="7" t="inlineStr">
        <is>
          <t>шт.</t>
        </is>
      </c>
      <c r="E102" s="44" t="n">
        <v>790</v>
      </c>
      <c r="F102" s="45">
        <f>E102</f>
        <v/>
      </c>
      <c r="G102" s="8" t="inlineStr"/>
    </row>
    <row r="103">
      <c r="A103" s="7" t="n">
        <v>16</v>
      </c>
      <c r="B103" s="8" t="inlineStr">
        <is>
          <t>Мерч, корпоративные подарки</t>
        </is>
      </c>
      <c r="C103" s="8" t="inlineStr">
        <is>
          <t>Подарочная коробка с ложементом под 3 позиции, тираж 100</t>
        </is>
      </c>
      <c r="D103" s="7" t="inlineStr">
        <is>
          <t>шт.</t>
        </is>
      </c>
      <c r="E103" s="46" t="inlineStr">
        <is>
          <t>По запросу</t>
        </is>
      </c>
      <c r="F103" s="47" t="inlineStr">
        <is>
          <t>По запросу</t>
        </is>
      </c>
      <c r="G103" s="8" t="inlineStr"/>
    </row>
    <row r="104">
      <c r="A104" s="7" t="n">
        <v>16</v>
      </c>
      <c r="B104" s="8" t="inlineStr">
        <is>
          <t>Мерч, корпоративные подарки</t>
        </is>
      </c>
      <c r="C104" s="8" t="inlineStr">
        <is>
          <t>Подарочная коробка с ложементом под 3 позиции, тираж 500</t>
        </is>
      </c>
      <c r="D104" s="7" t="inlineStr">
        <is>
          <t>шт.</t>
        </is>
      </c>
      <c r="E104" s="46" t="inlineStr">
        <is>
          <t>По запросу</t>
        </is>
      </c>
      <c r="F104" s="47" t="inlineStr">
        <is>
          <t>По запросу</t>
        </is>
      </c>
      <c r="G104" s="8" t="inlineStr"/>
    </row>
    <row r="105">
      <c r="A105" s="7" t="n">
        <v>16</v>
      </c>
      <c r="B105" s="8" t="inlineStr">
        <is>
          <t>Мерч, корпоративные подарки</t>
        </is>
      </c>
      <c r="C105" s="8" t="inlineStr">
        <is>
          <t>Доставка тиража по Москве</t>
        </is>
      </c>
      <c r="D105" s="7" t="inlineStr">
        <is>
          <t>рейс</t>
        </is>
      </c>
      <c r="E105" s="44" t="n">
        <v>6500</v>
      </c>
      <c r="F105" s="45">
        <f>E105</f>
        <v/>
      </c>
      <c r="G105" s="8" t="inlineStr">
        <is>
          <t>До одного адреса</t>
        </is>
      </c>
    </row>
    <row r="106">
      <c r="A106" s="7" t="n">
        <v>16</v>
      </c>
      <c r="B106" s="8" t="inlineStr">
        <is>
          <t>Мерч, корпоративные подарки</t>
        </is>
      </c>
      <c r="C106" s="8" t="inlineStr">
        <is>
          <t>Образец комплекта: худи, шопер, термокружка, коробка</t>
        </is>
      </c>
      <c r="D106" s="7" t="inlineStr">
        <is>
          <t>компл.</t>
        </is>
      </c>
      <c r="E106" s="46" t="inlineStr">
        <is>
          <t>По запросу</t>
        </is>
      </c>
      <c r="F106" s="47" t="inlineStr">
        <is>
          <t>По запросу</t>
        </is>
      </c>
      <c r="G106" s="8" t="inlineStr">
        <is>
          <t>Засчитывается в тираж</t>
        </is>
      </c>
    </row>
    <row r="107">
      <c r="A107" s="7" t="n">
        <v>17</v>
      </c>
      <c r="B107" s="8" t="inlineStr">
        <is>
          <t>Сувенирная продукция, PR-боксы</t>
        </is>
      </c>
      <c r="C107" s="8" t="inlineStr">
        <is>
          <t>Концепция PR-бокса</t>
        </is>
      </c>
      <c r="D107" s="7" t="inlineStr">
        <is>
          <t>шт.</t>
        </is>
      </c>
      <c r="E107" s="44" t="n">
        <v>42000</v>
      </c>
      <c r="F107" s="45">
        <f>ROUND(E107*(1-Прайс!$B$6),0)</f>
        <v/>
      </c>
      <c r="G107" s="8" t="inlineStr"/>
    </row>
    <row r="108">
      <c r="A108" s="7" t="n">
        <v>17</v>
      </c>
      <c r="B108" s="8" t="inlineStr">
        <is>
          <t>Сувенирная продукция, PR-боксы</t>
        </is>
      </c>
      <c r="C108" s="8" t="inlineStr">
        <is>
          <t>Брендированная упаковка</t>
        </is>
      </c>
      <c r="D108" s="7" t="inlineStr">
        <is>
          <t>шт.</t>
        </is>
      </c>
      <c r="E108" s="46" t="inlineStr">
        <is>
          <t>По запросу</t>
        </is>
      </c>
      <c r="F108" s="47" t="inlineStr">
        <is>
          <t>По запросу</t>
        </is>
      </c>
      <c r="G108" s="8" t="inlineStr"/>
    </row>
    <row r="109">
      <c r="A109" s="7" t="n">
        <v>17</v>
      </c>
      <c r="B109" s="8" t="inlineStr">
        <is>
          <t>Сувенирная продукция, PR-боксы</t>
        </is>
      </c>
      <c r="C109" s="8" t="inlineStr">
        <is>
          <t>Открытка с персональным текстом</t>
        </is>
      </c>
      <c r="D109" s="7" t="inlineStr">
        <is>
          <t>шт.</t>
        </is>
      </c>
      <c r="E109" s="44" t="n">
        <v>180</v>
      </c>
      <c r="F109" s="45">
        <f>E109</f>
        <v/>
      </c>
      <c r="G109" s="8" t="inlineStr"/>
    </row>
    <row r="110">
      <c r="A110" s="7" t="n">
        <v>17</v>
      </c>
      <c r="B110" s="8" t="inlineStr">
        <is>
          <t>Сувенирная продукция, PR-боксы</t>
        </is>
      </c>
      <c r="C110" s="8" t="inlineStr">
        <is>
          <t>Наполнение по согласованному списку, бюджет до 5 000 ₽</t>
        </is>
      </c>
      <c r="D110" s="7" t="inlineStr">
        <is>
          <t>бокс</t>
        </is>
      </c>
      <c r="E110" s="44" t="n">
        <v>5000</v>
      </c>
      <c r="F110" s="45">
        <f>E110</f>
        <v/>
      </c>
      <c r="G110" s="8" t="inlineStr">
        <is>
          <t>По чекам</t>
        </is>
      </c>
    </row>
    <row r="111">
      <c r="A111" s="7" t="n">
        <v>17</v>
      </c>
      <c r="B111" s="8" t="inlineStr">
        <is>
          <t>Сувенирная продукция, PR-боксы</t>
        </is>
      </c>
      <c r="C111" s="8" t="inlineStr">
        <is>
          <t>Закупка, проверка и логистика наполнения, 25% от бюджета</t>
        </is>
      </c>
      <c r="D111" s="7" t="inlineStr">
        <is>
          <t>бокс</t>
        </is>
      </c>
      <c r="E111" s="44" t="n">
        <v>1250</v>
      </c>
      <c r="F111" s="45">
        <f>E111</f>
        <v/>
      </c>
      <c r="G111" s="8" t="inlineStr"/>
    </row>
    <row r="112">
      <c r="A112" s="7" t="n">
        <v>17</v>
      </c>
      <c r="B112" s="8" t="inlineStr">
        <is>
          <t>Сувенирная продукция, PR-боксы</t>
        </is>
      </c>
      <c r="C112" s="8" t="inlineStr">
        <is>
          <t>Сборка и упаковка</t>
        </is>
      </c>
      <c r="D112" s="7" t="inlineStr">
        <is>
          <t>бокс</t>
        </is>
      </c>
      <c r="E112" s="44" t="n">
        <v>350</v>
      </c>
      <c r="F112" s="45">
        <f>E112</f>
        <v/>
      </c>
      <c r="G112" s="8" t="inlineStr"/>
    </row>
    <row r="113">
      <c r="A113" s="7" t="n">
        <v>17</v>
      </c>
      <c r="B113" s="8" t="inlineStr">
        <is>
          <t>Сувенирная продукция, PR-боксы</t>
        </is>
      </c>
      <c r="C113" s="8" t="inlineStr">
        <is>
          <t>Курьерская доставка по Москве, фото вручения</t>
        </is>
      </c>
      <c r="D113" s="7" t="inlineStr">
        <is>
          <t>адрес</t>
        </is>
      </c>
      <c r="E113" s="44" t="n">
        <v>950</v>
      </c>
      <c r="F113" s="45">
        <f>E113</f>
        <v/>
      </c>
      <c r="G113" s="8" t="inlineStr"/>
    </row>
    <row r="114">
      <c r="A114" s="7" t="n">
        <v>18</v>
      </c>
      <c r="B114" s="8" t="inlineStr">
        <is>
          <t>Брендированная вода</t>
        </is>
      </c>
      <c r="C114" s="8" t="inlineStr">
        <is>
          <t>Вода негазированная 0,33 л ПЭТ, полноцветная этикетка, партия 1 000</t>
        </is>
      </c>
      <c r="D114" s="7" t="inlineStr">
        <is>
          <t>шт.</t>
        </is>
      </c>
      <c r="E114" s="44" t="n">
        <v>62</v>
      </c>
      <c r="F114" s="45">
        <f>E114</f>
        <v/>
      </c>
      <c r="G114" s="8" t="inlineStr"/>
    </row>
    <row r="115">
      <c r="A115" s="7" t="n">
        <v>18</v>
      </c>
      <c r="B115" s="8" t="inlineStr">
        <is>
          <t>Брендированная вода</t>
        </is>
      </c>
      <c r="C115" s="8" t="inlineStr">
        <is>
          <t>Вода негазированная 0,33 л ПЭТ, полноцветная этикетка, партия 5 000</t>
        </is>
      </c>
      <c r="D115" s="7" t="inlineStr">
        <is>
          <t>шт.</t>
        </is>
      </c>
      <c r="E115" s="44" t="n">
        <v>45</v>
      </c>
      <c r="F115" s="45">
        <f>E115</f>
        <v/>
      </c>
      <c r="G115" s="8" t="inlineStr"/>
    </row>
    <row r="116">
      <c r="A116" s="7" t="n">
        <v>18</v>
      </c>
      <c r="B116" s="8" t="inlineStr">
        <is>
          <t>Брендированная вода</t>
        </is>
      </c>
      <c r="C116" s="8" t="inlineStr">
        <is>
          <t>Вода 0,33 л в стекле, полноцветная этикетка, партия 1 000</t>
        </is>
      </c>
      <c r="D116" s="7" t="inlineStr">
        <is>
          <t>шт.</t>
        </is>
      </c>
      <c r="E116" s="44" t="n">
        <v>135</v>
      </c>
      <c r="F116" s="45">
        <f>E116</f>
        <v/>
      </c>
      <c r="G116" s="8" t="inlineStr"/>
    </row>
    <row r="117">
      <c r="A117" s="7" t="n">
        <v>18</v>
      </c>
      <c r="B117" s="8" t="inlineStr">
        <is>
          <t>Брендированная вода</t>
        </is>
      </c>
      <c r="C117" s="8" t="inlineStr">
        <is>
          <t>Вода 0,33 л в стекле, полноцветная этикетка, партия 5 000</t>
        </is>
      </c>
      <c r="D117" s="7" t="inlineStr">
        <is>
          <t>шт.</t>
        </is>
      </c>
      <c r="E117" s="44" t="n">
        <v>110</v>
      </c>
      <c r="F117" s="45">
        <f>E117</f>
        <v/>
      </c>
      <c r="G117" s="8" t="inlineStr"/>
    </row>
    <row r="118">
      <c r="A118" s="7" t="n">
        <v>18</v>
      </c>
      <c r="B118" s="8" t="inlineStr">
        <is>
          <t>Брендированная вода</t>
        </is>
      </c>
      <c r="C118" s="8" t="inlineStr">
        <is>
          <t>Доставка до объекта по Москве</t>
        </is>
      </c>
      <c r="D118" s="7" t="inlineStr">
        <is>
          <t>рейс</t>
        </is>
      </c>
      <c r="E118" s="44" t="n">
        <v>6500</v>
      </c>
      <c r="F118" s="45">
        <f>E118</f>
        <v/>
      </c>
      <c r="G118" s="8" t="inlineStr"/>
    </row>
    <row r="119">
      <c r="A119" s="7" t="n">
        <v>19</v>
      </c>
      <c r="B119" s="8" t="inlineStr">
        <is>
          <t>Свечи и диффузоры</t>
        </is>
      </c>
      <c r="C119" s="8" t="inlineStr">
        <is>
          <t>Разработка эксклюзивного аромата объекта, 3 варианта на выбор</t>
        </is>
      </c>
      <c r="D119" s="7" t="inlineStr">
        <is>
          <t>компл.</t>
        </is>
      </c>
      <c r="E119" s="44" t="n">
        <v>85000</v>
      </c>
      <c r="F119" s="45">
        <f>E119</f>
        <v/>
      </c>
      <c r="G119" s="8" t="inlineStr">
        <is>
          <t>С парфюмером производителя</t>
        </is>
      </c>
    </row>
    <row r="120">
      <c r="A120" s="7" t="n">
        <v>19</v>
      </c>
      <c r="B120" s="8" t="inlineStr">
        <is>
          <t>Свечи и диффузоры</t>
        </is>
      </c>
      <c r="C120" s="8" t="inlineStr">
        <is>
          <t>Свеча 200 мл в стекле с крышкой, брендированная коробка, партия 100</t>
        </is>
      </c>
      <c r="D120" s="7" t="inlineStr">
        <is>
          <t>шт.</t>
        </is>
      </c>
      <c r="E120" s="44" t="n">
        <v>1350</v>
      </c>
      <c r="F120" s="45">
        <f>E120</f>
        <v/>
      </c>
      <c r="G120" s="8" t="inlineStr"/>
    </row>
    <row r="121">
      <c r="A121" s="7" t="n">
        <v>19</v>
      </c>
      <c r="B121" s="8" t="inlineStr">
        <is>
          <t>Свечи и диффузоры</t>
        </is>
      </c>
      <c r="C121" s="8" t="inlineStr">
        <is>
          <t>Свеча 200 мл в стекле с крышкой, брендированная коробка, партия 300</t>
        </is>
      </c>
      <c r="D121" s="7" t="inlineStr">
        <is>
          <t>шт.</t>
        </is>
      </c>
      <c r="E121" s="44" t="n">
        <v>1150</v>
      </c>
      <c r="F121" s="45">
        <f>E121</f>
        <v/>
      </c>
      <c r="G121" s="8" t="inlineStr"/>
    </row>
    <row r="122">
      <c r="A122" s="7" t="n">
        <v>19</v>
      </c>
      <c r="B122" s="8" t="inlineStr">
        <is>
          <t>Свечи и диффузоры</t>
        </is>
      </c>
      <c r="C122" s="8" t="inlineStr">
        <is>
          <t>Диффузор 100 мл с палочками, брендированная упаковка, партия 100</t>
        </is>
      </c>
      <c r="D122" s="7" t="inlineStr">
        <is>
          <t>шт.</t>
        </is>
      </c>
      <c r="E122" s="44" t="n">
        <v>1250</v>
      </c>
      <c r="F122" s="45">
        <f>E122</f>
        <v/>
      </c>
      <c r="G122" s="8" t="inlineStr"/>
    </row>
    <row r="123">
      <c r="A123" s="7" t="n">
        <v>19</v>
      </c>
      <c r="B123" s="8" t="inlineStr">
        <is>
          <t>Свечи и диффузоры</t>
        </is>
      </c>
      <c r="C123" s="8" t="inlineStr">
        <is>
          <t>Мыло жидкое 250 мл с дозатором, брендированная этикетка, партия 300</t>
        </is>
      </c>
      <c r="D123" s="7" t="inlineStr">
        <is>
          <t>шт.</t>
        </is>
      </c>
      <c r="E123" s="44" t="n">
        <v>590</v>
      </c>
      <c r="F123" s="45">
        <f>E123</f>
        <v/>
      </c>
      <c r="G123" s="8" t="inlineStr"/>
    </row>
    <row r="124">
      <c r="A124" s="7" t="n">
        <v>19</v>
      </c>
      <c r="B124" s="8" t="inlineStr">
        <is>
          <t>Свечи и диффузоры</t>
        </is>
      </c>
      <c r="C124" s="8" t="inlineStr">
        <is>
          <t>Доставка по Москве</t>
        </is>
      </c>
      <c r="D124" s="7" t="inlineStr">
        <is>
          <t>рейс</t>
        </is>
      </c>
      <c r="E124" s="44" t="n">
        <v>6500</v>
      </c>
      <c r="F124" s="45">
        <f>E124</f>
        <v/>
      </c>
      <c r="G124" s="8" t="inlineStr"/>
    </row>
    <row r="125">
      <c r="A125" s="7" t="n">
        <v>20</v>
      </c>
      <c r="B125" s="8" t="inlineStr">
        <is>
          <t>Шоколад</t>
        </is>
      </c>
      <c r="C125" s="8" t="inlineStr">
        <is>
          <t>Плитка шоколада 50 г, индивидуальная обертка с логотипом, партия 200</t>
        </is>
      </c>
      <c r="D125" s="7" t="inlineStr">
        <is>
          <t>шт.</t>
        </is>
      </c>
      <c r="E125" s="44" t="n">
        <v>165</v>
      </c>
      <c r="F125" s="45">
        <f>E125</f>
        <v/>
      </c>
      <c r="G125" s="8" t="inlineStr"/>
    </row>
    <row r="126">
      <c r="A126" s="7" t="n">
        <v>20</v>
      </c>
      <c r="B126" s="8" t="inlineStr">
        <is>
          <t>Шоколад</t>
        </is>
      </c>
      <c r="C126" s="8" t="inlineStr">
        <is>
          <t>Плитка шоколада 50 г, индивидуальная обертка с логотипом, партия 1 000</t>
        </is>
      </c>
      <c r="D126" s="7" t="inlineStr">
        <is>
          <t>шт.</t>
        </is>
      </c>
      <c r="E126" s="44" t="n">
        <v>120</v>
      </c>
      <c r="F126" s="45">
        <f>E126</f>
        <v/>
      </c>
      <c r="G126" s="8" t="inlineStr"/>
    </row>
    <row r="127">
      <c r="A127" s="7" t="n">
        <v>20</v>
      </c>
      <c r="B127" s="8" t="inlineStr">
        <is>
          <t>Шоколад</t>
        </is>
      </c>
      <c r="C127" s="8" t="inlineStr">
        <is>
          <t>Набор 9 конфет в брендированной коробке, партия 200</t>
        </is>
      </c>
      <c r="D127" s="7" t="inlineStr">
        <is>
          <t>шт.</t>
        </is>
      </c>
      <c r="E127" s="44" t="n">
        <v>980</v>
      </c>
      <c r="F127" s="45">
        <f>E127</f>
        <v/>
      </c>
      <c r="G127" s="8" t="inlineStr"/>
    </row>
    <row r="128">
      <c r="A128" s="7" t="n">
        <v>20</v>
      </c>
      <c r="B128" s="8" t="inlineStr">
        <is>
          <t>Шоколад</t>
        </is>
      </c>
      <c r="C128" s="8" t="inlineStr">
        <is>
          <t>Набор 9 конфет в брендированной коробке, партия 1 000</t>
        </is>
      </c>
      <c r="D128" s="7" t="inlineStr">
        <is>
          <t>шт.</t>
        </is>
      </c>
      <c r="E128" s="44" t="n">
        <v>820</v>
      </c>
      <c r="F128" s="45">
        <f>E128</f>
        <v/>
      </c>
      <c r="G128" s="8" t="inlineStr"/>
    </row>
    <row r="129">
      <c r="A129" s="7" t="n">
        <v>20</v>
      </c>
      <c r="B129" s="8" t="inlineStr">
        <is>
          <t>Шоколад</t>
        </is>
      </c>
      <c r="C129" s="8" t="inlineStr">
        <is>
          <t>Дегустационный набор: плитки и конфеты из ассортимента</t>
        </is>
      </c>
      <c r="D129" s="7" t="inlineStr">
        <is>
          <t>компл.</t>
        </is>
      </c>
      <c r="E129" s="44" t="n">
        <v>4500</v>
      </c>
      <c r="F129" s="45">
        <f>E129</f>
        <v/>
      </c>
      <c r="G129" s="8" t="inlineStr"/>
    </row>
    <row r="130">
      <c r="A130" s="7" t="n">
        <v>20</v>
      </c>
      <c r="B130" s="8" t="inlineStr">
        <is>
          <t>Шоколад</t>
        </is>
      </c>
      <c r="C130" s="8" t="inlineStr">
        <is>
          <t>Доставка по Москве</t>
        </is>
      </c>
      <c r="D130" s="7" t="inlineStr">
        <is>
          <t>рейс</t>
        </is>
      </c>
      <c r="E130" s="44" t="n">
        <v>6500</v>
      </c>
      <c r="F130" s="45">
        <f>E130</f>
        <v/>
      </c>
      <c r="G130" s="8" t="inlineStr"/>
    </row>
    <row r="131">
      <c r="A131" s="7" t="n">
        <v>21</v>
      </c>
      <c r="B131" s="8" t="inlineStr">
        <is>
          <t>Форма для сотрудников</t>
        </is>
      </c>
      <c r="C131" s="8" t="inlineStr">
        <is>
          <t>Поло или рубашка, хлопок с эластаном</t>
        </is>
      </c>
      <c r="D131" s="7" t="inlineStr">
        <is>
          <t>шт.</t>
        </is>
      </c>
      <c r="E131" s="44" t="n">
        <v>1650</v>
      </c>
      <c r="F131" s="45">
        <f>E131</f>
        <v/>
      </c>
      <c r="G131" s="8" t="inlineStr"/>
    </row>
    <row r="132">
      <c r="A132" s="7" t="n">
        <v>21</v>
      </c>
      <c r="B132" s="8" t="inlineStr">
        <is>
          <t>Форма для сотрудников</t>
        </is>
      </c>
      <c r="C132" s="8" t="inlineStr">
        <is>
          <t>Брюки, костюмная ткань</t>
        </is>
      </c>
      <c r="D132" s="7" t="inlineStr">
        <is>
          <t>шт.</t>
        </is>
      </c>
      <c r="E132" s="44" t="n">
        <v>2900</v>
      </c>
      <c r="F132" s="45">
        <f>E132</f>
        <v/>
      </c>
      <c r="G132" s="8" t="inlineStr"/>
    </row>
    <row r="133">
      <c r="A133" s="7" t="n">
        <v>21</v>
      </c>
      <c r="B133" s="8" t="inlineStr">
        <is>
          <t>Форма для сотрудников</t>
        </is>
      </c>
      <c r="C133" s="8" t="inlineStr">
        <is>
          <t>Жилет, костюмная ткань, подкладка</t>
        </is>
      </c>
      <c r="D133" s="7" t="inlineStr">
        <is>
          <t>шт.</t>
        </is>
      </c>
      <c r="E133" s="44" t="n">
        <v>4200</v>
      </c>
      <c r="F133" s="45">
        <f>E133</f>
        <v/>
      </c>
      <c r="G133" s="8" t="inlineStr"/>
    </row>
    <row r="134">
      <c r="A134" s="7" t="n">
        <v>21</v>
      </c>
      <c r="B134" s="8" t="inlineStr">
        <is>
          <t>Форма для сотрудников</t>
        </is>
      </c>
      <c r="C134" s="8" t="inlineStr">
        <is>
          <t>Вышивка логотипа на груди</t>
        </is>
      </c>
      <c r="D134" s="7" t="inlineStr">
        <is>
          <t>шт.</t>
        </is>
      </c>
      <c r="E134" s="44" t="n">
        <v>350</v>
      </c>
      <c r="F134" s="45">
        <f>E134</f>
        <v/>
      </c>
      <c r="G134" s="8" t="inlineStr">
        <is>
          <t>На поло и жилете</t>
        </is>
      </c>
    </row>
    <row r="135">
      <c r="A135" s="7" t="n">
        <v>21</v>
      </c>
      <c r="B135" s="8" t="inlineStr">
        <is>
          <t>Форма для сотрудников</t>
        </is>
      </c>
      <c r="C135" s="8" t="inlineStr">
        <is>
          <t>Образец комплекта для примерки</t>
        </is>
      </c>
      <c r="D135" s="7" t="inlineStr">
        <is>
          <t>компл.</t>
        </is>
      </c>
      <c r="E135" s="44" t="n">
        <v>14000</v>
      </c>
      <c r="F135" s="45">
        <f>E135</f>
        <v/>
      </c>
      <c r="G135" s="8" t="inlineStr">
        <is>
          <t>Засчитывается в тираж</t>
        </is>
      </c>
    </row>
    <row r="136">
      <c r="A136" s="7" t="n">
        <v>21</v>
      </c>
      <c r="B136" s="8" t="inlineStr">
        <is>
          <t>Форма для сотрудников</t>
        </is>
      </c>
      <c r="C136" s="8" t="inlineStr">
        <is>
          <t>Дошив комплекта, 1-5 шт. в течение года</t>
        </is>
      </c>
      <c r="D136" s="7" t="inlineStr">
        <is>
          <t>компл.</t>
        </is>
      </c>
      <c r="E136" s="44" t="n">
        <v>12900</v>
      </c>
      <c r="F136" s="45">
        <f>E136</f>
        <v/>
      </c>
      <c r="G136" s="8" t="inlineStr"/>
    </row>
    <row r="137">
      <c r="A137" s="7" t="n">
        <v>22</v>
      </c>
      <c r="B137" s="8" t="inlineStr">
        <is>
          <t>Агентство по организации мероприятий</t>
        </is>
      </c>
      <c r="C137" s="8" t="inlineStr">
        <is>
          <t>Декор зоны пресс-завтрака</t>
        </is>
      </c>
      <c r="D137" s="7" t="inlineStr">
        <is>
          <t>компл.</t>
        </is>
      </c>
      <c r="E137" s="44" t="n">
        <v>125000</v>
      </c>
      <c r="F137" s="45">
        <f>E137</f>
        <v/>
      </c>
      <c r="G137" s="8" t="inlineStr"/>
    </row>
    <row r="138">
      <c r="A138" s="7" t="n">
        <v>22</v>
      </c>
      <c r="B138" s="8" t="inlineStr">
        <is>
          <t>Агентство по организации мероприятий</t>
        </is>
      </c>
      <c r="C138" s="8" t="inlineStr">
        <is>
          <t>Кейтеринг: завтрак-фуршет, кофе-брейк, посуда, официанты</t>
        </is>
      </c>
      <c r="D138" s="7" t="inlineStr">
        <is>
          <t>гость</t>
        </is>
      </c>
      <c r="E138" s="44" t="n">
        <v>3800</v>
      </c>
      <c r="F138" s="45">
        <f>E138</f>
        <v/>
      </c>
      <c r="G138" s="8" t="inlineStr"/>
    </row>
    <row r="139">
      <c r="A139" s="7" t="n">
        <v>22</v>
      </c>
      <c r="B139" s="8" t="inlineStr">
        <is>
          <t>Агентство по организации мероприятий</t>
        </is>
      </c>
      <c r="C139" s="8" t="inlineStr">
        <is>
          <t>Звук: акустика, 2 радиомикрофона, техник</t>
        </is>
      </c>
      <c r="D139" s="7" t="inlineStr">
        <is>
          <t>компл.</t>
        </is>
      </c>
      <c r="E139" s="44" t="n">
        <v>32000</v>
      </c>
      <c r="F139" s="45">
        <f>E139</f>
        <v/>
      </c>
      <c r="G139" s="8" t="inlineStr"/>
    </row>
    <row r="140">
      <c r="A140" s="7" t="n">
        <v>22</v>
      </c>
      <c r="B140" s="8" t="inlineStr">
        <is>
          <t>Агентство по организации мероприятий</t>
        </is>
      </c>
      <c r="C140" s="8" t="inlineStr">
        <is>
          <t>Ведущий</t>
        </is>
      </c>
      <c r="D140" s="7" t="inlineStr">
        <is>
          <t>мероприятие</t>
        </is>
      </c>
      <c r="E140" s="44" t="n">
        <v>55000</v>
      </c>
      <c r="F140" s="45">
        <f>E140</f>
        <v/>
      </c>
      <c r="G140" s="8" t="inlineStr"/>
    </row>
    <row r="141">
      <c r="A141" s="7" t="n">
        <v>22</v>
      </c>
      <c r="B141" s="8" t="inlineStr">
        <is>
          <t>Агентство по организации мероприятий</t>
        </is>
      </c>
      <c r="C141" s="8" t="inlineStr">
        <is>
          <t>Фотосъемка, 3 ч</t>
        </is>
      </c>
      <c r="D141" s="7" t="inlineStr">
        <is>
          <t>компл.</t>
        </is>
      </c>
      <c r="E141" s="44" t="n">
        <v>21000</v>
      </c>
      <c r="F141" s="45">
        <f>E141</f>
        <v/>
      </c>
      <c r="G141" s="8" t="inlineStr"/>
    </row>
    <row r="142">
      <c r="A142" s="7" t="n">
        <v>22</v>
      </c>
      <c r="B142" s="8" t="inlineStr">
        <is>
          <t>Агентство по организации мероприятий</t>
        </is>
      </c>
      <c r="C142" s="8" t="inlineStr">
        <is>
          <t>Видеосъемка и отчетный ролик</t>
        </is>
      </c>
      <c r="D142" s="7" t="inlineStr">
        <is>
          <t>компл.</t>
        </is>
      </c>
      <c r="E142" s="44" t="n">
        <v>45000</v>
      </c>
      <c r="F142" s="45">
        <f>E142</f>
        <v/>
      </c>
      <c r="G142" s="8" t="inlineStr"/>
    </row>
    <row r="143">
      <c r="A143" s="7" t="n">
        <v>22</v>
      </c>
      <c r="B143" s="8" t="inlineStr">
        <is>
          <t>Агентство по организации мероприятий</t>
        </is>
      </c>
      <c r="C143" s="8" t="inlineStr">
        <is>
          <t>Welcome-подарок гостю</t>
        </is>
      </c>
      <c r="D143" s="7" t="inlineStr">
        <is>
          <t>шт.</t>
        </is>
      </c>
      <c r="E143" s="44" t="n">
        <v>2600</v>
      </c>
      <c r="F143" s="45">
        <f>E143</f>
        <v/>
      </c>
      <c r="G143" s="8" t="inlineStr"/>
    </row>
    <row r="144">
      <c r="A144" s="7" t="n">
        <v>22</v>
      </c>
      <c r="B144" s="8" t="inlineStr">
        <is>
          <t>Агентство по организации мероприятий</t>
        </is>
      </c>
      <c r="C144" s="8" t="inlineStr">
        <is>
          <t>Персонал и координация на площадке</t>
        </is>
      </c>
      <c r="D144" s="7" t="inlineStr">
        <is>
          <t>компл.</t>
        </is>
      </c>
      <c r="E144" s="44" t="n">
        <v>32000</v>
      </c>
      <c r="F144" s="45">
        <f>E144</f>
        <v/>
      </c>
      <c r="G144" s="8" t="inlineStr"/>
    </row>
    <row r="145">
      <c r="A145" s="7" t="n">
        <v>23</v>
      </c>
      <c r="B145" s="8" t="inlineStr">
        <is>
          <t>Декорирование, флористика</t>
        </is>
      </c>
      <c r="C145" s="8" t="inlineStr">
        <is>
          <t>Эскиз и 3D-визуализация оформления атриума</t>
        </is>
      </c>
      <c r="D145" s="7" t="inlineStr">
        <is>
          <t>компл.</t>
        </is>
      </c>
      <c r="E145" s="44" t="n">
        <v>85000</v>
      </c>
      <c r="F145" s="45">
        <f>ROUND(E145*(1-Прайс!$B$6),0)</f>
        <v/>
      </c>
      <c r="G145" s="8" t="inlineStr">
        <is>
          <t>До старта производства</t>
        </is>
      </c>
    </row>
    <row r="146">
      <c r="A146" s="7" t="n">
        <v>23</v>
      </c>
      <c r="B146" s="8" t="inlineStr">
        <is>
          <t>Декорирование, флористика</t>
        </is>
      </c>
      <c r="C146" s="8" t="inlineStr">
        <is>
          <t>Центральная композиция высотой до 6 м, производство</t>
        </is>
      </c>
      <c r="D146" s="7" t="inlineStr">
        <is>
          <t>шт.</t>
        </is>
      </c>
      <c r="E146" s="46" t="inlineStr">
        <is>
          <t>По запросу</t>
        </is>
      </c>
      <c r="F146" s="47" t="inlineStr">
        <is>
          <t>По запросу</t>
        </is>
      </c>
      <c r="G146" s="8" t="inlineStr"/>
    </row>
    <row r="147">
      <c r="A147" s="7" t="n">
        <v>23</v>
      </c>
      <c r="B147" s="8" t="inlineStr">
        <is>
          <t>Декорирование, флористика</t>
        </is>
      </c>
      <c r="C147" s="8" t="inlineStr">
        <is>
          <t>Малая фотозона, производство</t>
        </is>
      </c>
      <c r="D147" s="7" t="inlineStr">
        <is>
          <t>шт.</t>
        </is>
      </c>
      <c r="E147" s="46" t="inlineStr">
        <is>
          <t>По запросу</t>
        </is>
      </c>
      <c r="F147" s="47" t="inlineStr">
        <is>
          <t>По запросу</t>
        </is>
      </c>
      <c r="G147" s="8" t="inlineStr"/>
    </row>
    <row r="148">
      <c r="A148" s="7" t="n">
        <v>23</v>
      </c>
      <c r="B148" s="8" t="inlineStr">
        <is>
          <t>Декорирование, флористика</t>
        </is>
      </c>
      <c r="C148" s="8" t="inlineStr">
        <is>
          <t>Монтаж и демонтаж в ночное время</t>
        </is>
      </c>
      <c r="D148" s="7" t="inlineStr">
        <is>
          <t>компл.</t>
        </is>
      </c>
      <c r="E148" s="46" t="inlineStr">
        <is>
          <t>По запросу</t>
        </is>
      </c>
      <c r="F148" s="47" t="inlineStr">
        <is>
          <t>По запросу</t>
        </is>
      </c>
      <c r="G148" s="8" t="inlineStr"/>
    </row>
    <row r="149">
      <c r="A149" s="7" t="n">
        <v>23</v>
      </c>
      <c r="B149" s="8" t="inlineStr">
        <is>
          <t>Декорирование, флористика</t>
        </is>
      </c>
      <c r="C149" s="8" t="inlineStr">
        <is>
          <t>Хранение декора между сезонами</t>
        </is>
      </c>
      <c r="D149" s="7" t="inlineStr">
        <is>
          <t>мес.</t>
        </is>
      </c>
      <c r="E149" s="46" t="inlineStr">
        <is>
          <t>По запросу</t>
        </is>
      </c>
      <c r="F149" s="47" t="inlineStr">
        <is>
          <t>По запросу</t>
        </is>
      </c>
      <c r="G149" s="8" t="inlineStr"/>
    </row>
    <row r="150">
      <c r="A150" s="7" t="n">
        <v>23</v>
      </c>
      <c r="B150" s="8" t="inlineStr">
        <is>
          <t>Декорирование, флористика</t>
        </is>
      </c>
      <c r="C150" s="8" t="inlineStr">
        <is>
          <t>Флористическая композиция на стол</t>
        </is>
      </c>
      <c r="D150" s="7" t="inlineStr">
        <is>
          <t>шт.</t>
        </is>
      </c>
      <c r="E150" s="44" t="n">
        <v>9500</v>
      </c>
      <c r="F150" s="45">
        <f>E150</f>
        <v/>
      </c>
      <c r="G150" s="8" t="inlineStr"/>
    </row>
    <row r="151">
      <c r="A151" s="7" t="n">
        <v>23</v>
      </c>
      <c r="B151" s="8" t="inlineStr">
        <is>
          <t>Декорирование, флористика</t>
        </is>
      </c>
      <c r="C151" s="8" t="inlineStr">
        <is>
          <t>Флористическая фотозона</t>
        </is>
      </c>
      <c r="D151" s="7" t="inlineStr">
        <is>
          <t>шт.</t>
        </is>
      </c>
      <c r="E151" s="44" t="n">
        <v>95000</v>
      </c>
      <c r="F151" s="45">
        <f>E151</f>
        <v/>
      </c>
      <c r="G151" s="8" t="inlineStr"/>
    </row>
    <row r="152">
      <c r="A152" s="7" t="n">
        <v>23</v>
      </c>
      <c r="B152" s="8" t="inlineStr">
        <is>
          <t>Декорирование, флористика</t>
        </is>
      </c>
      <c r="C152" s="8" t="inlineStr">
        <is>
          <t>Доставка, монтаж и демонтаж флористики</t>
        </is>
      </c>
      <c r="D152" s="7" t="inlineStr">
        <is>
          <t>компл.</t>
        </is>
      </c>
      <c r="E152" s="44" t="n">
        <v>16000</v>
      </c>
      <c r="F152" s="45">
        <f>E152</f>
        <v/>
      </c>
      <c r="G152" s="8" t="inlineStr"/>
    </row>
    <row r="153">
      <c r="A153" s="7" t="n">
        <v>24</v>
      </c>
      <c r="B153" s="8" t="inlineStr">
        <is>
          <t>Кейтеринг</t>
        </is>
      </c>
      <c r="C153" s="8" t="inlineStr">
        <is>
          <t>Завтрак-фуршет 6-8 позиций и кофе-брейк, посуда, текстиль, официанты, уборка</t>
        </is>
      </c>
      <c r="D153" s="7" t="inlineStr">
        <is>
          <t>гость</t>
        </is>
      </c>
      <c r="E153" s="44" t="n">
        <v>3800</v>
      </c>
      <c r="F153" s="45">
        <f>E153</f>
        <v/>
      </c>
      <c r="G153" s="8" t="inlineStr"/>
    </row>
    <row r="154">
      <c r="A154" s="7" t="n">
        <v>24</v>
      </c>
      <c r="B154" s="8" t="inlineStr">
        <is>
          <t>Кейтеринг</t>
        </is>
      </c>
      <c r="C154" s="8" t="inlineStr">
        <is>
          <t>Вечерний фуршет 10-12 позиций и безалкогольный бар, посуда, текстиль, официанты, уборка</t>
        </is>
      </c>
      <c r="D154" s="7" t="inlineStr">
        <is>
          <t>гость</t>
        </is>
      </c>
      <c r="E154" s="44" t="n">
        <v>5300</v>
      </c>
      <c r="F154" s="45">
        <f>E154</f>
        <v/>
      </c>
      <c r="G154" s="8" t="inlineStr"/>
    </row>
    <row r="155">
      <c r="A155" s="7" t="n">
        <v>24</v>
      </c>
      <c r="B155" s="8" t="inlineStr">
        <is>
          <t>Кейтеринг</t>
        </is>
      </c>
      <c r="C155" s="8" t="inlineStr">
        <is>
          <t>Официант, час (минимум 4 ч)</t>
        </is>
      </c>
      <c r="D155" s="7" t="inlineStr">
        <is>
          <t>час</t>
        </is>
      </c>
      <c r="E155" s="44" t="n">
        <v>900</v>
      </c>
      <c r="F155" s="45">
        <f>E155</f>
        <v/>
      </c>
      <c r="G155" s="8" t="inlineStr"/>
    </row>
    <row r="156">
      <c r="A156" s="7" t="n">
        <v>24</v>
      </c>
      <c r="B156" s="8" t="inlineStr">
        <is>
          <t>Кейтеринг</t>
        </is>
      </c>
      <c r="C156" s="8" t="inlineStr">
        <is>
          <t>Дегустация меню на 2-3 человек</t>
        </is>
      </c>
      <c r="D156" s="7" t="inlineStr">
        <is>
          <t>компл.</t>
        </is>
      </c>
      <c r="E156" s="44" t="n">
        <v>15000</v>
      </c>
      <c r="F156" s="45">
        <f>E156</f>
        <v/>
      </c>
      <c r="G156" s="8" t="inlineStr">
        <is>
          <t>Засчитывается при заказе</t>
        </is>
      </c>
    </row>
    <row r="157">
      <c r="A157" s="7" t="n">
        <v>25</v>
      </c>
      <c r="B157" s="8" t="inlineStr">
        <is>
          <t>Звук и свет</t>
        </is>
      </c>
      <c r="C157" s="8" t="inlineStr">
        <is>
          <t>Акустическая система на зону до 300 м²</t>
        </is>
      </c>
      <c r="D157" s="7" t="inlineStr">
        <is>
          <t>компл.</t>
        </is>
      </c>
      <c r="E157" s="44" t="n">
        <v>28000</v>
      </c>
      <c r="F157" s="45">
        <f>E157</f>
        <v/>
      </c>
      <c r="G157" s="8" t="inlineStr"/>
    </row>
    <row r="158">
      <c r="A158" s="7" t="n">
        <v>25</v>
      </c>
      <c r="B158" s="8" t="inlineStr">
        <is>
          <t>Звук и свет</t>
        </is>
      </c>
      <c r="C158" s="8" t="inlineStr">
        <is>
          <t>Радиомикрофон</t>
        </is>
      </c>
      <c r="D158" s="7" t="inlineStr">
        <is>
          <t>шт.</t>
        </is>
      </c>
      <c r="E158" s="44" t="n">
        <v>2800</v>
      </c>
      <c r="F158" s="45">
        <f>E158</f>
        <v/>
      </c>
      <c r="G158" s="8" t="inlineStr"/>
    </row>
    <row r="159">
      <c r="A159" s="7" t="n">
        <v>25</v>
      </c>
      <c r="B159" s="8" t="inlineStr">
        <is>
          <t>Звук и свет</t>
        </is>
      </c>
      <c r="C159" s="8" t="inlineStr">
        <is>
          <t>Микшерный пульт</t>
        </is>
      </c>
      <c r="D159" s="7" t="inlineStr">
        <is>
          <t>шт.</t>
        </is>
      </c>
      <c r="E159" s="44" t="n">
        <v>6000</v>
      </c>
      <c r="F159" s="45">
        <f>E159</f>
        <v/>
      </c>
      <c r="G159" s="8" t="inlineStr"/>
    </row>
    <row r="160">
      <c r="A160" s="7" t="n">
        <v>25</v>
      </c>
      <c r="B160" s="8" t="inlineStr">
        <is>
          <t>Звук и свет</t>
        </is>
      </c>
      <c r="C160" s="8" t="inlineStr">
        <is>
          <t>Сценический свет для подиума 4 × 3 м</t>
        </is>
      </c>
      <c r="D160" s="7" t="inlineStr">
        <is>
          <t>компл.</t>
        </is>
      </c>
      <c r="E160" s="44" t="n">
        <v>26000</v>
      </c>
      <c r="F160" s="45">
        <f>E160</f>
        <v/>
      </c>
      <c r="G160" s="8" t="inlineStr"/>
    </row>
    <row r="161">
      <c r="A161" s="7" t="n">
        <v>25</v>
      </c>
      <c r="B161" s="8" t="inlineStr">
        <is>
          <t>Звук и свет</t>
        </is>
      </c>
      <c r="C161" s="8" t="inlineStr">
        <is>
          <t>Техник на все время мероприятия</t>
        </is>
      </c>
      <c r="D161" s="7" t="inlineStr">
        <is>
          <t>смена</t>
        </is>
      </c>
      <c r="E161" s="44" t="n">
        <v>13000</v>
      </c>
      <c r="F161" s="45">
        <f>E161</f>
        <v/>
      </c>
      <c r="G161" s="8" t="inlineStr"/>
    </row>
    <row r="162">
      <c r="A162" s="7" t="n">
        <v>25</v>
      </c>
      <c r="B162" s="8" t="inlineStr">
        <is>
          <t>Звук и свет</t>
        </is>
      </c>
      <c r="C162" s="8" t="inlineStr">
        <is>
          <t>Доставка, монтаж, демонтаж</t>
        </is>
      </c>
      <c r="D162" s="7" t="inlineStr">
        <is>
          <t>компл.</t>
        </is>
      </c>
      <c r="E162" s="44" t="n">
        <v>12000</v>
      </c>
      <c r="F162" s="45">
        <f>E162</f>
        <v/>
      </c>
      <c r="G162" s="8" t="inlineStr"/>
    </row>
    <row r="163">
      <c r="A163" s="7" t="n">
        <v>26</v>
      </c>
      <c r="B163" s="8" t="inlineStr">
        <is>
          <t>Звукорежиссер</t>
        </is>
      </c>
      <c r="C163" s="8" t="inlineStr">
        <is>
          <t>Звукорежиссер, смена 6 ч, включая саундчек</t>
        </is>
      </c>
      <c r="D163" s="7" t="inlineStr">
        <is>
          <t>смена</t>
        </is>
      </c>
      <c r="E163" s="44" t="n">
        <v>24000</v>
      </c>
      <c r="F163" s="45">
        <f>E163</f>
        <v/>
      </c>
      <c r="G163" s="8" t="inlineStr"/>
    </row>
    <row r="164">
      <c r="A164" s="7" t="n">
        <v>26</v>
      </c>
      <c r="B164" s="8" t="inlineStr">
        <is>
          <t>Звукорежиссер</t>
        </is>
      </c>
      <c r="C164" s="8" t="inlineStr">
        <is>
          <t>Переработка звукорежиссера</t>
        </is>
      </c>
      <c r="D164" s="7" t="inlineStr">
        <is>
          <t>час</t>
        </is>
      </c>
      <c r="E164" s="44" t="n">
        <v>4000</v>
      </c>
      <c r="F164" s="45">
        <f>E164</f>
        <v/>
      </c>
      <c r="G164" s="8" t="inlineStr">
        <is>
          <t>Прайс</t>
        </is>
      </c>
    </row>
    <row r="165">
      <c r="A165" s="7" t="n">
        <v>27</v>
      </c>
      <c r="B165" s="8" t="inlineStr">
        <is>
          <t>Диджей</t>
        </is>
      </c>
      <c r="C165" s="8" t="inlineStr">
        <is>
          <t>Диджей, сет 3 ч, с оборудованием</t>
        </is>
      </c>
      <c r="D165" s="7" t="inlineStr">
        <is>
          <t>сет</t>
        </is>
      </c>
      <c r="E165" s="44" t="n">
        <v>42000</v>
      </c>
      <c r="F165" s="45">
        <f>E165</f>
        <v/>
      </c>
      <c r="G165" s="8" t="inlineStr"/>
    </row>
    <row r="166">
      <c r="A166" s="7" t="n">
        <v>27</v>
      </c>
      <c r="B166" s="8" t="inlineStr">
        <is>
          <t>Диджей</t>
        </is>
      </c>
      <c r="C166" s="8" t="inlineStr">
        <is>
          <t>Диджей, сет 3 ч, на оборудовании площадки</t>
        </is>
      </c>
      <c r="D166" s="7" t="inlineStr">
        <is>
          <t>сет</t>
        </is>
      </c>
      <c r="E166" s="44" t="n">
        <v>32000</v>
      </c>
      <c r="F166" s="45">
        <f>E166</f>
        <v/>
      </c>
      <c r="G166" s="8" t="inlineStr"/>
    </row>
    <row r="167">
      <c r="A167" s="7" t="n">
        <v>27</v>
      </c>
      <c r="B167" s="8" t="inlineStr">
        <is>
          <t>Диджей</t>
        </is>
      </c>
      <c r="C167" s="8" t="inlineStr">
        <is>
          <t>Диджей, час (минимум 2 ч)</t>
        </is>
      </c>
      <c r="D167" s="7" t="inlineStr">
        <is>
          <t>час</t>
        </is>
      </c>
      <c r="E167" s="44" t="n">
        <v>11000</v>
      </c>
      <c r="F167" s="45">
        <f>E167</f>
        <v/>
      </c>
      <c r="G167" s="8" t="inlineStr">
        <is>
          <t>Прайс</t>
        </is>
      </c>
    </row>
    <row r="168">
      <c r="A168" s="7" t="n">
        <v>28</v>
      </c>
      <c r="B168" s="8" t="inlineStr">
        <is>
          <t>Аренда мебели</t>
        </is>
      </c>
      <c r="C168" s="8" t="inlineStr">
        <is>
          <t>Лаунж-зона: диван, 2 кресла, журнальный стол</t>
        </is>
      </c>
      <c r="D168" s="7" t="inlineStr">
        <is>
          <t>компл./сут.</t>
        </is>
      </c>
      <c r="E168" s="44" t="n">
        <v>18000</v>
      </c>
      <c r="F168" s="45">
        <f>E168</f>
        <v/>
      </c>
      <c r="G168" s="8" t="inlineStr"/>
    </row>
    <row r="169">
      <c r="A169" s="7" t="n">
        <v>28</v>
      </c>
      <c r="B169" s="8" t="inlineStr">
        <is>
          <t>Аренда мебели</t>
        </is>
      </c>
      <c r="C169" s="8" t="inlineStr">
        <is>
          <t>Коктейльный стол с чехлом</t>
        </is>
      </c>
      <c r="D169" s="7" t="inlineStr">
        <is>
          <t>шт./сут.</t>
        </is>
      </c>
      <c r="E169" s="44" t="n">
        <v>2200</v>
      </c>
      <c r="F169" s="45">
        <f>E169</f>
        <v/>
      </c>
      <c r="G169" s="8" t="inlineStr"/>
    </row>
    <row r="170">
      <c r="A170" s="7" t="n">
        <v>28</v>
      </c>
      <c r="B170" s="8" t="inlineStr">
        <is>
          <t>Аренда мебели</t>
        </is>
      </c>
      <c r="C170" s="8" t="inlineStr">
        <is>
          <t>Барная стойка</t>
        </is>
      </c>
      <c r="D170" s="7" t="inlineStr">
        <is>
          <t>шт./сут.</t>
        </is>
      </c>
      <c r="E170" s="44" t="n">
        <v>14000</v>
      </c>
      <c r="F170" s="45">
        <f>E170</f>
        <v/>
      </c>
      <c r="G170" s="8" t="inlineStr"/>
    </row>
    <row r="171">
      <c r="A171" s="7" t="n">
        <v>28</v>
      </c>
      <c r="B171" s="8" t="inlineStr">
        <is>
          <t>Аренда мебели</t>
        </is>
      </c>
      <c r="C171" s="8" t="inlineStr">
        <is>
          <t>Доставка, сборка и вывоз в ночное время</t>
        </is>
      </c>
      <c r="D171" s="7" t="inlineStr">
        <is>
          <t>компл.</t>
        </is>
      </c>
      <c r="E171" s="44" t="n">
        <v>28000</v>
      </c>
      <c r="F171" s="45">
        <f>E171</f>
        <v/>
      </c>
      <c r="G171" s="8" t="inlineStr"/>
    </row>
    <row r="172">
      <c r="A172" s="7" t="n">
        <v>29</v>
      </c>
      <c r="B172" s="8" t="inlineStr">
        <is>
          <t>Закупка мебели</t>
        </is>
      </c>
      <c r="C172" s="8" t="inlineStr">
        <is>
          <t>Диван для общественной зоны, ткань от 50 000 циклов по Мартиндейлу</t>
        </is>
      </c>
      <c r="D172" s="7" t="inlineStr">
        <is>
          <t>шт.</t>
        </is>
      </c>
      <c r="E172" s="46" t="inlineStr">
        <is>
          <t>По запросу</t>
        </is>
      </c>
      <c r="F172" s="47" t="inlineStr">
        <is>
          <t>По запросу</t>
        </is>
      </c>
      <c r="G172" s="8" t="inlineStr">
        <is>
          <t>Ориентир от 120 000 ₽ без НДС</t>
        </is>
      </c>
    </row>
    <row r="173">
      <c r="A173" s="7" t="n">
        <v>29</v>
      </c>
      <c r="B173" s="8" t="inlineStr">
        <is>
          <t>Закупка мебели</t>
        </is>
      </c>
      <c r="C173" s="8" t="inlineStr">
        <is>
          <t>Кресло для общественной зоны, та же ткань</t>
        </is>
      </c>
      <c r="D173" s="7" t="inlineStr">
        <is>
          <t>шт.</t>
        </is>
      </c>
      <c r="E173" s="46" t="inlineStr">
        <is>
          <t>По запросу</t>
        </is>
      </c>
      <c r="F173" s="47" t="inlineStr">
        <is>
          <t>По запросу</t>
        </is>
      </c>
      <c r="G173" s="8" t="inlineStr">
        <is>
          <t>Ориентир от 50 000 ₽ без НДС</t>
        </is>
      </c>
    </row>
    <row r="174">
      <c r="A174" s="7" t="n">
        <v>29</v>
      </c>
      <c r="B174" s="8" t="inlineStr">
        <is>
          <t>Закупка мебели</t>
        </is>
      </c>
      <c r="C174" s="8" t="inlineStr">
        <is>
          <t>Столик для зоны отдыха</t>
        </is>
      </c>
      <c r="D174" s="7" t="inlineStr">
        <is>
          <t>шт.</t>
        </is>
      </c>
      <c r="E174" s="46" t="inlineStr">
        <is>
          <t>По запросу</t>
        </is>
      </c>
      <c r="F174" s="47" t="inlineStr">
        <is>
          <t>По запросу</t>
        </is>
      </c>
      <c r="G174" s="8" t="inlineStr">
        <is>
          <t>Ориентир от 18 000 ₽ без НДС</t>
        </is>
      </c>
    </row>
    <row r="175">
      <c r="A175" s="7" t="n">
        <v>29</v>
      </c>
      <c r="B175" s="8" t="inlineStr">
        <is>
          <t>Закупка мебели</t>
        </is>
      </c>
      <c r="C175" s="8" t="inlineStr">
        <is>
          <t>Доставка, сборка, вывоз упаковки</t>
        </is>
      </c>
      <c r="D175" s="7" t="inlineStr">
        <is>
          <t>компл.</t>
        </is>
      </c>
      <c r="E175" s="46" t="inlineStr">
        <is>
          <t>По запросу</t>
        </is>
      </c>
      <c r="F175" s="47" t="inlineStr">
        <is>
          <t>По запросу</t>
        </is>
      </c>
      <c r="G175" s="8" t="inlineStr"/>
    </row>
    <row r="176">
      <c r="A176" s="7" t="n">
        <v>30</v>
      </c>
      <c r="B176" s="8" t="inlineStr">
        <is>
          <t>Стажеры, персонал</t>
        </is>
      </c>
      <c r="C176" s="8" t="inlineStr">
        <is>
          <t>Промоутер</t>
        </is>
      </c>
      <c r="D176" s="7" t="inlineStr">
        <is>
          <t>час</t>
        </is>
      </c>
      <c r="E176" s="44" t="n">
        <v>750</v>
      </c>
      <c r="F176" s="45">
        <f>E176</f>
        <v/>
      </c>
      <c r="G176" s="8" t="inlineStr"/>
    </row>
    <row r="177">
      <c r="A177" s="7" t="n">
        <v>30</v>
      </c>
      <c r="B177" s="8" t="inlineStr">
        <is>
          <t>Стажеры, персонал</t>
        </is>
      </c>
      <c r="C177" s="8" t="inlineStr">
        <is>
          <t>Хостес со знанием английского</t>
        </is>
      </c>
      <c r="D177" s="7" t="inlineStr">
        <is>
          <t>час</t>
        </is>
      </c>
      <c r="E177" s="44" t="n">
        <v>1200</v>
      </c>
      <c r="F177" s="45">
        <f>E177</f>
        <v/>
      </c>
      <c r="G177" s="8" t="inlineStr"/>
    </row>
    <row r="178">
      <c r="A178" s="7" t="n">
        <v>30</v>
      </c>
      <c r="B178" s="8" t="inlineStr">
        <is>
          <t>Стажеры, персонал</t>
        </is>
      </c>
      <c r="C178" s="8" t="inlineStr">
        <is>
          <t>Стажер</t>
        </is>
      </c>
      <c r="D178" s="7" t="inlineStr">
        <is>
          <t>час</t>
        </is>
      </c>
      <c r="E178" s="44" t="n">
        <v>550</v>
      </c>
      <c r="F178" s="45">
        <f>E178</f>
        <v/>
      </c>
      <c r="G178" s="8" t="inlineStr">
        <is>
          <t>Прайс</t>
        </is>
      </c>
    </row>
    <row r="179">
      <c r="A179" s="7" t="n">
        <v>30</v>
      </c>
      <c r="B179" s="8" t="inlineStr">
        <is>
          <t>Стажеры, персонал</t>
        </is>
      </c>
      <c r="C179" s="8" t="inlineStr">
        <is>
          <t>Администратор (супервайзер)</t>
        </is>
      </c>
      <c r="D179" s="7" t="inlineStr">
        <is>
          <t>час</t>
        </is>
      </c>
      <c r="E179" s="44" t="n">
        <v>1000</v>
      </c>
      <c r="F179" s="45">
        <f>E179</f>
        <v/>
      </c>
      <c r="G179" s="8" t="inlineStr">
        <is>
          <t>Прайс</t>
        </is>
      </c>
    </row>
    <row r="180">
      <c r="A180" s="7" t="n">
        <v>30</v>
      </c>
      <c r="B180" s="8" t="inlineStr">
        <is>
          <t>Стажеры, персонал</t>
        </is>
      </c>
      <c r="C180" s="8" t="inlineStr">
        <is>
          <t>Брендированная футболка для персонала</t>
        </is>
      </c>
      <c r="D180" s="7" t="inlineStr">
        <is>
          <t>шт.</t>
        </is>
      </c>
      <c r="E180" s="44" t="n">
        <v>1100</v>
      </c>
      <c r="F180" s="45">
        <f>E180</f>
        <v/>
      </c>
      <c r="G180" s="8" t="inlineStr">
        <is>
          <t>Опция. Дресс-код в своей одежде бесплатно</t>
        </is>
      </c>
    </row>
    <row r="181">
      <c r="A181" s="7" t="n">
        <v>31</v>
      </c>
      <c r="B181" s="8" t="inlineStr">
        <is>
          <t>Фотозона</t>
        </is>
      </c>
      <c r="C181" s="8" t="inlineStr">
        <is>
          <t>Зеркальные панели «водная рябь» на каркасе, стена</t>
        </is>
      </c>
      <c r="D181" s="7" t="inlineStr">
        <is>
          <t>м²</t>
        </is>
      </c>
      <c r="E181" s="46" t="inlineStr">
        <is>
          <t>По запросу</t>
        </is>
      </c>
      <c r="F181" s="47" t="inlineStr">
        <is>
          <t>По запросу</t>
        </is>
      </c>
      <c r="G181" s="8" t="inlineStr"/>
    </row>
    <row r="182">
      <c r="A182" s="7" t="n">
        <v>31</v>
      </c>
      <c r="B182" s="8" t="inlineStr">
        <is>
          <t>Фотозона</t>
        </is>
      </c>
      <c r="C182" s="8" t="inlineStr">
        <is>
          <t>Напольное покрытие, зеркальный пластик, край волной</t>
        </is>
      </c>
      <c r="D182" s="7" t="inlineStr">
        <is>
          <t>м²</t>
        </is>
      </c>
      <c r="E182" s="46" t="inlineStr">
        <is>
          <t>По запросу</t>
        </is>
      </c>
      <c r="F182" s="47" t="inlineStr">
        <is>
          <t>По запросу</t>
        </is>
      </c>
      <c r="G182" s="8" t="inlineStr">
        <is>
          <t>С антискользящей защитной пленкой</t>
        </is>
      </c>
    </row>
    <row r="183">
      <c r="A183" s="7" t="n">
        <v>31</v>
      </c>
      <c r="B183" s="8" t="inlineStr">
        <is>
          <t>Фотозона</t>
        </is>
      </c>
      <c r="C183" s="8" t="inlineStr">
        <is>
          <t>Световой лайтбокс в форме логотипа 2200 × 1500 мм</t>
        </is>
      </c>
      <c r="D183" s="7" t="inlineStr">
        <is>
          <t>шт.</t>
        </is>
      </c>
      <c r="E183" s="46" t="inlineStr">
        <is>
          <t>По запросу</t>
        </is>
      </c>
      <c r="F183" s="47" t="inlineStr">
        <is>
          <t>По запросу</t>
        </is>
      </c>
      <c r="G183" s="8" t="inlineStr"/>
    </row>
    <row r="184">
      <c r="A184" s="7" t="n">
        <v>31</v>
      </c>
      <c r="B184" s="8" t="inlineStr">
        <is>
          <t>Фотозона</t>
        </is>
      </c>
      <c r="C184" s="8" t="inlineStr">
        <is>
          <t>Монтаж фотозоны</t>
        </is>
      </c>
      <c r="D184" s="7" t="inlineStr">
        <is>
          <t>компл.</t>
        </is>
      </c>
      <c r="E184" s="46" t="inlineStr">
        <is>
          <t>По запросу</t>
        </is>
      </c>
      <c r="F184" s="47" t="inlineStr">
        <is>
          <t>По запросу</t>
        </is>
      </c>
      <c r="G184" s="8" t="inlineStr"/>
    </row>
    <row r="185">
      <c r="A185" s="7" t="n">
        <v>31</v>
      </c>
      <c r="B185" s="8" t="inlineStr">
        <is>
          <t>Фотозона</t>
        </is>
      </c>
      <c r="C185" s="8" t="inlineStr">
        <is>
          <t>Демонтаж фотозоны</t>
        </is>
      </c>
      <c r="D185" s="7" t="inlineStr">
        <is>
          <t>компл.</t>
        </is>
      </c>
      <c r="E185" s="46" t="inlineStr">
        <is>
          <t>По запросу</t>
        </is>
      </c>
      <c r="F185" s="47" t="inlineStr">
        <is>
          <t>По запросу</t>
        </is>
      </c>
      <c r="G185" s="8" t="inlineStr"/>
    </row>
  </sheetData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2026-10-23T15:27:51Z</dcterms:created>
  <dcterms:modified xmlns:dcterms="http://purl.org/dc/terms/" xmlns:xsi="http://www.w3.org/2001/XMLSchema-instance" xsi:type="dcterms:W3CDTF">2026-10-23T15:27:51Z</dcterms:modified>
</cp:coreProperties>
</file>