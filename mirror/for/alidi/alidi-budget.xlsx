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мета" sheetId="2" state="visible" r:id="rId2"/>
    <sheet xmlns:r="http://schemas.openxmlformats.org/officeDocument/2006/relationships" name="Ставки" sheetId="3" state="visible" r:id="rId3"/>
    <sheet xmlns:r="http://schemas.openxmlformats.org/officeDocument/2006/relationships" name="Съёмки" sheetId="4" state="visible" r:id="rId4"/>
    <sheet xmlns:r="http://schemas.openxmlformats.org/officeDocument/2006/relationships" name="Вопрос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#,##0;-#,##0;&quot;–&quot;"/>
  </numFmts>
  <fonts count="36">
    <font>
      <name val="Calibri"/>
      <family val="2"/>
      <color theme="1"/>
      <sz val="11"/>
      <scheme val="minor"/>
    </font>
    <font>
      <name val="Arial"/>
      <b val="1"/>
      <color rgb="008C8C88"/>
      <sz val="8"/>
    </font>
    <font>
      <name val="Arial"/>
      <b val="1"/>
      <color rgb="00080000"/>
      <sz val="11"/>
    </font>
    <font>
      <name val="Arial"/>
      <color rgb="004A4A47"/>
      <sz val="9"/>
    </font>
    <font>
      <name val="Arial"/>
      <b val="1"/>
      <color rgb="00080000"/>
      <sz val="13"/>
    </font>
    <font>
      <name val="Arial"/>
      <b val="1"/>
      <color rgb="00080000"/>
      <sz val="10"/>
    </font>
    <font>
      <name val="Arial"/>
      <b val="1"/>
      <color rgb="004A4A47"/>
      <sz val="8"/>
    </font>
    <font>
      <name val="Arial"/>
      <color rgb="008C8C88"/>
      <sz val="8"/>
    </font>
    <font>
      <name val="Arial"/>
      <b val="1"/>
      <color rgb="00080000"/>
      <sz val="8"/>
    </font>
    <font>
      <name val="Arial"/>
      <b val="1"/>
      <color rgb="00FAFAF8"/>
      <sz val="8"/>
    </font>
    <font>
      <name val="Arial"/>
      <color rgb="004A4A47"/>
      <sz val="10"/>
    </font>
    <font>
      <name val="Arial"/>
      <color rgb="00080000"/>
      <sz val="10"/>
    </font>
    <font>
      <name val="Arial"/>
      <b val="1"/>
      <color rgb="00080000"/>
      <sz val="12"/>
    </font>
    <font>
      <name val="Arial"/>
      <b val="1"/>
      <i val="1"/>
      <color rgb="004A4A47"/>
      <sz val="10"/>
    </font>
    <font>
      <name val="Arial"/>
      <i val="1"/>
      <color rgb="004A4A47"/>
      <sz val="10"/>
    </font>
    <font>
      <name val="Arial"/>
      <b val="1"/>
      <i val="1"/>
      <color rgb="004A4A47"/>
      <sz val="11"/>
    </font>
    <font>
      <name val="Arial"/>
      <color rgb="00080000"/>
      <sz val="9"/>
    </font>
    <font>
      <name val="Arial"/>
      <color rgb="008C8C88"/>
      <sz val="9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AFAF8"/>
      <sz val="16"/>
    </font>
    <font>
      <name val="Arial"/>
      <color rgb="00C8C8C4"/>
      <sz val="9"/>
    </font>
    <font>
      <name val="Arial"/>
      <b val="1"/>
      <color rgb="00080000"/>
      <sz val="30"/>
    </font>
    <font>
      <name val="Arial"/>
      <b val="1"/>
      <color rgb="00F6A500"/>
      <sz val="18"/>
    </font>
    <font>
      <name val="Arial"/>
      <b val="1"/>
      <color rgb="0060C0D8"/>
      <sz val="18"/>
    </font>
    <font>
      <name val="Arial"/>
      <b val="1"/>
      <color rgb="0048A8D8"/>
      <sz val="18"/>
    </font>
    <font>
      <name val="Arial"/>
      <b val="1"/>
      <color rgb="00E30521"/>
      <sz val="18"/>
    </font>
    <font>
      <name val="Arial"/>
      <color rgb="0093C01F"/>
      <sz val="9"/>
    </font>
    <font>
      <name val="Arial"/>
      <color rgb="00F6A500"/>
      <sz val="9"/>
    </font>
    <font>
      <name val="Arial"/>
      <color rgb="0060C0D8"/>
      <sz val="9"/>
    </font>
    <font>
      <name val="Arial"/>
      <color rgb="00941B80"/>
      <sz val="9"/>
    </font>
    <font>
      <name val="Arial"/>
      <color rgb="00FDC400"/>
      <sz val="9"/>
    </font>
    <font>
      <name val="Arial"/>
      <color rgb="00EE2BEE"/>
      <sz val="9"/>
    </font>
    <font>
      <name val="Arial"/>
      <color rgb="00E30521"/>
      <sz val="9"/>
    </font>
    <font>
      <name val="Arial"/>
      <b val="1"/>
      <color rgb="000041EA"/>
      <sz val="10"/>
    </font>
  </fonts>
  <fills count="16">
    <fill>
      <patternFill/>
    </fill>
    <fill>
      <patternFill patternType="gray125"/>
    </fill>
    <fill>
      <patternFill patternType="solid">
        <fgColor rgb="00FAFAF8"/>
      </patternFill>
    </fill>
    <fill>
      <patternFill patternType="solid">
        <fgColor rgb="00FFF6B0"/>
      </patternFill>
    </fill>
    <fill>
      <patternFill patternType="solid">
        <fgColor rgb="00FDF0D2"/>
      </patternFill>
    </fill>
    <fill>
      <patternFill patternType="solid">
        <fgColor rgb="00080000"/>
      </patternFill>
    </fill>
    <fill>
      <patternFill patternType="solid">
        <fgColor rgb="00F6A500"/>
      </patternFill>
    </fill>
    <fill>
      <patternFill patternType="solid">
        <fgColor rgb="00F4F4F2"/>
      </patternFill>
    </fill>
    <fill>
      <patternFill patternType="solid">
        <fgColor rgb="0093C01F"/>
      </patternFill>
    </fill>
    <fill>
      <patternFill patternType="solid">
        <fgColor rgb="0060C0D8"/>
      </patternFill>
    </fill>
    <fill>
      <patternFill patternType="solid">
        <fgColor rgb="00941B80"/>
      </patternFill>
    </fill>
    <fill>
      <patternFill patternType="solid">
        <fgColor rgb="00FDC400"/>
      </patternFill>
    </fill>
    <fill>
      <patternFill patternType="solid">
        <fgColor rgb="00EE2BEE"/>
      </patternFill>
    </fill>
    <fill>
      <patternFill patternType="solid">
        <fgColor rgb="00E30521"/>
      </patternFill>
    </fill>
    <fill>
      <patternFill patternType="solid">
        <fgColor rgb="0048A8D8"/>
      </patternFill>
    </fill>
    <fill>
      <patternFill patternType="solid">
        <fgColor rgb="00E7E7E4"/>
      </patternFill>
    </fill>
  </fills>
  <borders count="3">
    <border>
      <left/>
      <right/>
      <top/>
      <bottom/>
      <diagonal/>
    </border>
    <border>
      <bottom style="thin">
        <color rgb="00E7E7E4"/>
      </bottom>
    </border>
    <border>
      <top style="medium">
        <color rgb="00080000"/>
      </top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23" fillId="2" borderId="0" applyAlignment="1" pivotButton="0" quotePrefix="0" xfId="0">
      <alignment horizontal="left" vertical="center"/>
    </xf>
    <xf numFmtId="0" fontId="3" fillId="2" borderId="0" pivotButton="0" quotePrefix="0" xfId="0"/>
    <xf numFmtId="164" fontId="5" fillId="2" borderId="0" pivotButton="0" quotePrefix="0" xfId="0"/>
    <xf numFmtId="0" fontId="3" fillId="2" borderId="0" applyAlignment="1" pivotButton="0" quotePrefix="0" xfId="0">
      <alignment vertical="top" wrapText="1"/>
    </xf>
    <xf numFmtId="0" fontId="0" fillId="2" borderId="1" pivotButton="0" quotePrefix="0" xfId="0"/>
    <xf numFmtId="0" fontId="2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vertical="center"/>
    </xf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25" fillId="2" borderId="1" applyAlignment="1" pivotButton="0" quotePrefix="0" xfId="0">
      <alignment horizontal="left" vertical="center"/>
    </xf>
    <xf numFmtId="0" fontId="26" fillId="2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right" vertical="center" wrapText="1"/>
    </xf>
    <xf numFmtId="165" fontId="5" fillId="2" borderId="1" applyAlignment="1" pivotButton="0" quotePrefix="0" xfId="0">
      <alignment horizontal="right" vertical="center"/>
    </xf>
    <xf numFmtId="9" fontId="3" fillId="2" borderId="1" applyAlignment="1" pivotButton="0" quotePrefix="0" xfId="0">
      <alignment horizontal="right" vertical="center"/>
    </xf>
    <xf numFmtId="0" fontId="28" fillId="2" borderId="1" applyAlignment="1" pivotButton="0" quotePrefix="0" xfId="0">
      <alignment vertical="center"/>
    </xf>
    <xf numFmtId="0" fontId="29" fillId="2" borderId="1" applyAlignment="1" pivotButton="0" quotePrefix="0" xfId="0">
      <alignment vertical="center"/>
    </xf>
    <xf numFmtId="0" fontId="30" fillId="2" borderId="1" applyAlignment="1" pivotButton="0" quotePrefix="0" xfId="0">
      <alignment vertical="center"/>
    </xf>
    <xf numFmtId="0" fontId="31" fillId="2" borderId="1" applyAlignment="1" pivotButton="0" quotePrefix="0" xfId="0">
      <alignment vertical="center"/>
    </xf>
    <xf numFmtId="0" fontId="32" fillId="2" borderId="1" applyAlignment="1" pivotButton="0" quotePrefix="0" xfId="0">
      <alignment vertical="center"/>
    </xf>
    <xf numFmtId="0" fontId="33" fillId="2" borderId="1" applyAlignment="1" pivotButton="0" quotePrefix="0" xfId="0">
      <alignment vertical="center"/>
    </xf>
    <xf numFmtId="0" fontId="34" fillId="2" borderId="1" applyAlignment="1" pivotButton="0" quotePrefix="0" xfId="0">
      <alignment vertical="center"/>
    </xf>
    <xf numFmtId="0" fontId="0" fillId="2" borderId="2" pivotButton="0" quotePrefix="0" xfId="0"/>
    <xf numFmtId="0" fontId="2" fillId="2" borderId="2" pivotButton="0" quotePrefix="0" xfId="0"/>
    <xf numFmtId="165" fontId="2" fillId="2" borderId="2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0" fontId="5" fillId="2" borderId="0" pivotButton="0" quotePrefix="0" xfId="0"/>
    <xf numFmtId="0" fontId="6" fillId="3" borderId="0" pivotButton="0" quotePrefix="0" xfId="0"/>
    <xf numFmtId="0" fontId="7" fillId="2" borderId="0" pivotButton="0" quotePrefix="0" xfId="0"/>
    <xf numFmtId="0" fontId="35" fillId="2" borderId="0" pivotButton="0" quotePrefix="0" xfId="0"/>
    <xf numFmtId="0" fontId="12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0" fillId="8" borderId="0" pivotButton="0" quotePrefix="0" xfId="0"/>
    <xf numFmtId="165" fontId="4" fillId="8" borderId="0" applyAlignment="1" pivotButton="0" quotePrefix="0" xfId="0">
      <alignment horizontal="right" vertical="center"/>
    </xf>
    <xf numFmtId="0" fontId="16" fillId="8" borderId="0" applyAlignment="1" pivotButton="0" quotePrefix="0" xfId="0">
      <alignment vertical="center" wrapText="1"/>
    </xf>
    <xf numFmtId="0" fontId="17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vertical="center" wrapText="1" indent="1"/>
    </xf>
    <xf numFmtId="0" fontId="12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0" fillId="6" borderId="0" pivotButton="0" quotePrefix="0" xfId="0"/>
    <xf numFmtId="165" fontId="4" fillId="6" borderId="0" applyAlignment="1" pivotButton="0" quotePrefix="0" xfId="0">
      <alignment horizontal="right" vertical="center"/>
    </xf>
    <xf numFmtId="0" fontId="16" fillId="6" borderId="0" applyAlignment="1" pivotButton="0" quotePrefix="0" xfId="0">
      <alignment vertical="center" wrapText="1"/>
    </xf>
    <xf numFmtId="0" fontId="11" fillId="2" borderId="1" applyAlignment="1" pivotButton="0" quotePrefix="0" xfId="0">
      <alignment horizontal="right" vertical="center"/>
    </xf>
    <xf numFmtId="165" fontId="10" fillId="2" borderId="1" applyAlignment="1" pivotButton="0" quotePrefix="0" xfId="0">
      <alignment horizontal="right" vertical="center"/>
    </xf>
    <xf numFmtId="0" fontId="12" fillId="9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0" fillId="9" borderId="0" pivotButton="0" quotePrefix="0" xfId="0"/>
    <xf numFmtId="165" fontId="4" fillId="9" borderId="0" applyAlignment="1" pivotButton="0" quotePrefix="0" xfId="0">
      <alignment horizontal="right" vertical="center"/>
    </xf>
    <xf numFmtId="0" fontId="16" fillId="9" borderId="0" applyAlignment="1" pivotButton="0" quotePrefix="0" xfId="0">
      <alignment vertical="center" wrapText="1"/>
    </xf>
    <xf numFmtId="0" fontId="18" fillId="10" borderId="0" applyAlignment="1" pivotButton="0" quotePrefix="0" xfId="0">
      <alignment vertical="center"/>
    </xf>
    <xf numFmtId="0" fontId="19" fillId="10" borderId="0" applyAlignment="1" pivotButton="0" quotePrefix="0" xfId="0">
      <alignment vertical="center"/>
    </xf>
    <xf numFmtId="0" fontId="0" fillId="10" borderId="0" pivotButton="0" quotePrefix="0" xfId="0"/>
    <xf numFmtId="165" fontId="19" fillId="10" borderId="0" applyAlignment="1" pivotButton="0" quotePrefix="0" xfId="0">
      <alignment horizontal="right" vertical="center"/>
    </xf>
    <xf numFmtId="0" fontId="20" fillId="10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/>
    </xf>
    <xf numFmtId="0" fontId="4" fillId="11" borderId="0" applyAlignment="1" pivotButton="0" quotePrefix="0" xfId="0">
      <alignment vertical="center"/>
    </xf>
    <xf numFmtId="0" fontId="0" fillId="11" borderId="0" pivotButton="0" quotePrefix="0" xfId="0"/>
    <xf numFmtId="165" fontId="4" fillId="11" borderId="0" applyAlignment="1" pivotButton="0" quotePrefix="0" xfId="0">
      <alignment horizontal="right" vertical="center"/>
    </xf>
    <xf numFmtId="0" fontId="16" fillId="11" borderId="0" applyAlignment="1" pivotButton="0" quotePrefix="0" xfId="0">
      <alignment vertical="center" wrapText="1"/>
    </xf>
    <xf numFmtId="0" fontId="12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0" fontId="0" fillId="12" borderId="0" pivotButton="0" quotePrefix="0" xfId="0"/>
    <xf numFmtId="165" fontId="4" fillId="12" borderId="0" applyAlignment="1" pivotButton="0" quotePrefix="0" xfId="0">
      <alignment horizontal="right" vertical="center"/>
    </xf>
    <xf numFmtId="0" fontId="16" fillId="12" borderId="0" applyAlignment="1" pivotButton="0" quotePrefix="0" xfId="0">
      <alignment vertical="center" wrapText="1"/>
    </xf>
    <xf numFmtId="0" fontId="18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0" fillId="13" borderId="0" pivotButton="0" quotePrefix="0" xfId="0"/>
    <xf numFmtId="165" fontId="19" fillId="13" borderId="0" applyAlignment="1" pivotButton="0" quotePrefix="0" xfId="0">
      <alignment horizontal="right" vertical="center"/>
    </xf>
    <xf numFmtId="0" fontId="20" fillId="13" borderId="0" applyAlignment="1" pivotButton="0" quotePrefix="0" xfId="0">
      <alignment vertical="center" wrapText="1"/>
    </xf>
    <xf numFmtId="0" fontId="12" fillId="2" borderId="2" applyAlignment="1" pivotButton="0" quotePrefix="0" xfId="0">
      <alignment vertical="center"/>
    </xf>
    <xf numFmtId="165" fontId="12" fillId="2" borderId="2" applyAlignment="1" pivotButton="0" quotePrefix="0" xfId="0">
      <alignment horizontal="right" vertical="center"/>
    </xf>
    <xf numFmtId="0" fontId="2" fillId="2" borderId="0" applyAlignment="1" pivotButton="0" quotePrefix="0" xfId="0">
      <alignment vertical="center"/>
    </xf>
    <xf numFmtId="165" fontId="2" fillId="2" borderId="0" applyAlignment="1" pivotButton="0" quotePrefix="0" xfId="0">
      <alignment horizontal="right" vertical="center"/>
    </xf>
    <xf numFmtId="0" fontId="0" fillId="5" borderId="0" pivotButton="0" quotePrefix="0" xfId="0"/>
    <xf numFmtId="0" fontId="21" fillId="5" borderId="0" applyAlignment="1" pivotButton="0" quotePrefix="0" xfId="0">
      <alignment vertical="center"/>
    </xf>
    <xf numFmtId="165" fontId="21" fillId="5" borderId="0" applyAlignment="1" pivotButton="0" quotePrefix="0" xfId="0">
      <alignment horizontal="right" vertical="center"/>
    </xf>
    <xf numFmtId="0" fontId="22" fillId="5" borderId="0" applyAlignment="1" pivotButton="0" quotePrefix="0" xfId="0">
      <alignment vertical="center"/>
    </xf>
    <xf numFmtId="0" fontId="0" fillId="14" borderId="0" pivotButton="0" quotePrefix="0" xfId="0"/>
    <xf numFmtId="0" fontId="4" fillId="14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15" borderId="0" pivotButton="0" quotePrefix="0" xfId="0"/>
    <xf numFmtId="0" fontId="4" fillId="15" borderId="0" applyAlignment="1" pivotButton="0" quotePrefix="0" xfId="0">
      <alignment vertical="center"/>
    </xf>
    <xf numFmtId="0" fontId="1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164" fontId="4" fillId="2" borderId="2" applyAlignment="1" pivotButton="0" quotePrefix="0" xfId="0">
      <alignment horizontal="right" vertical="center"/>
    </xf>
    <xf numFmtId="0" fontId="5" fillId="2" borderId="1" pivotButton="0" quotePrefix="0" xfId="0"/>
    <xf numFmtId="0" fontId="3" fillId="2" borderId="1" pivotButton="0" quotePrefix="0" xfId="0"/>
    <xf numFmtId="1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9" fontId="5" fillId="3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2" borderId="1" applyAlignment="1" pivotButton="0" quotePrefix="0" xfId="0">
      <alignment vertical="center" wrapText="1"/>
    </xf>
    <xf numFmtId="0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2" fillId="6" borderId="0" pivotButton="0" quotePrefix="0" xfId="0"/>
    <xf numFmtId="0" fontId="2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5" fontId="12" fillId="6" borderId="0" applyAlignment="1" pivotButton="0" quotePrefix="0" xfId="0">
      <alignment horizontal="right" vertical="center"/>
    </xf>
    <xf numFmtId="0" fontId="13" fillId="2" borderId="1" applyAlignment="1" pivotButton="0" quotePrefix="0" xfId="0">
      <alignment vertical="center" wrapText="1"/>
    </xf>
    <xf numFmtId="0" fontId="14" fillId="2" borderId="1" applyAlignment="1" pivotButton="0" quotePrefix="0" xfId="0">
      <alignment vertical="center" wrapText="1"/>
    </xf>
    <xf numFmtId="0" fontId="14" fillId="7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165" fontId="14" fillId="2" borderId="1" applyAlignment="1" pivotButton="0" quotePrefix="0" xfId="0">
      <alignment horizontal="right" vertical="center"/>
    </xf>
    <xf numFmtId="165" fontId="15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Relationship Type="http://schemas.openxmlformats.org/officeDocument/2006/relationships/image" Target="/xl/media/image19.png" Id="rId7"/><Relationship Type="http://schemas.openxmlformats.org/officeDocument/2006/relationships/image" Target="/xl/media/image20.png" Id="rId8"/><Relationship Type="http://schemas.openxmlformats.org/officeDocument/2006/relationships/image" Target="/xl/media/image21.png" Id="rId9"/><Relationship Type="http://schemas.openxmlformats.org/officeDocument/2006/relationships/image" Target="/xl/media/image22.pn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Relationship Type="http://schemas.openxmlformats.org/officeDocument/2006/relationships/image" Target="/xl/media/image31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6775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857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8575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8575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8575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667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667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66700" cy="266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66700" cy="266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66700" cy="266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667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66700" cy="266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811375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238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23850" cy="323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23850" cy="323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23850" cy="323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23850" cy="323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23850" cy="323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23850" cy="323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23850" cy="323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23850" cy="323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001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6383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163175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2857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28575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8575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28575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285750" cy="285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85750" cy="285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and-marketing.ru/for/alidi/#budget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080000"/>
    <outlinePr summaryBelow="1" summaryRight="1"/>
    <pageSetUpPr fitToPage="1"/>
  </sheetPr>
  <dimension ref="A1:G4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34" customWidth="1" min="3" max="3"/>
    <col width="17" customWidth="1" min="4" max="4"/>
    <col width="9" customWidth="1" min="5" max="5"/>
    <col width="44" customWidth="1" min="6" max="6"/>
    <col width="3" customWidth="1" min="7" max="7"/>
  </cols>
  <sheetData>
    <row r="1" ht="187.5" customHeight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2" t="inlineStr">
        <is>
          <t>И Т О Г О   С   Н Д С   2 2 %</t>
        </is>
      </c>
      <c r="D3" s="1" t="n"/>
      <c r="E3" s="1" t="n"/>
      <c r="F3" s="1" t="n"/>
      <c r="G3" s="1" t="n"/>
    </row>
    <row r="4" ht="46" customHeight="1">
      <c r="A4" s="1" t="n"/>
      <c r="B4" s="1" t="n"/>
      <c r="C4" s="3">
        <f>Смета!$G$53</f>
        <v/>
      </c>
      <c r="G4" s="1" t="n"/>
    </row>
    <row r="5">
      <c r="A5" s="1" t="n"/>
      <c r="B5" s="1" t="n"/>
      <c r="C5" s="4" t="inlineStr">
        <is>
          <t>без НДС</t>
        </is>
      </c>
      <c r="D5" s="5">
        <f>Смета!$G$51</f>
        <v/>
      </c>
      <c r="E5" s="1" t="n"/>
      <c r="F5" s="1" t="n"/>
      <c r="G5" s="1" t="n"/>
    </row>
    <row r="6">
      <c r="A6" s="1" t="n"/>
      <c r="B6" s="1" t="n"/>
      <c r="C6" s="4" t="inlineStr">
        <is>
          <t>НДС 22%</t>
        </is>
      </c>
      <c r="D6" s="5">
        <f>Смета!$G$52</f>
        <v/>
      </c>
      <c r="E6" s="1" t="n"/>
      <c r="F6" s="1" t="n"/>
      <c r="G6" s="1" t="n"/>
    </row>
    <row r="7" ht="40" customHeight="1">
      <c r="A7" s="1" t="n"/>
      <c r="B7" s="1" t="n"/>
      <c r="C7" s="6" t="inlineStr">
        <is>
          <t>Три версии фильма: к 35-летию 4–5 минут, партнёрская 2:30–3:00, для HH.ru 60–90 секунд. Русский язык, съёмки в Москве, Валищево, Нижнем Новгороде, Петербурге, Минске и Алматы, озвучка, графика, карта, музыка. Три круга правок включены.</t>
        </is>
      </c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2" t="inlineStr">
        <is>
          <t>О Б Ъ Ё М   Р А Б О Т Ы</t>
        </is>
      </c>
      <c r="D9" s="1" t="n"/>
      <c r="E9" s="1" t="n"/>
      <c r="F9" s="1" t="n"/>
      <c r="G9" s="1" t="n"/>
    </row>
    <row r="10" ht="28" customHeight="1">
      <c r="A10" s="1" t="n"/>
      <c r="B10" s="7" t="n"/>
      <c r="C10" s="8" t="n">
        <v>12</v>
      </c>
      <c r="D10" s="9" t="inlineStr">
        <is>
          <t>съёмочных смен</t>
        </is>
      </c>
      <c r="E10" s="10" t="n"/>
      <c r="F10" s="11" t="inlineStr">
        <is>
          <t>по 12 часов, группа из трёх человек на каждой</t>
        </is>
      </c>
      <c r="G10" s="1" t="n"/>
    </row>
    <row r="11" ht="28" customHeight="1">
      <c r="A11" s="1" t="n"/>
      <c r="B11" s="7" t="n"/>
      <c r="C11" s="12" t="n">
        <v>6</v>
      </c>
      <c r="D11" s="9" t="inlineStr">
        <is>
          <t>площадок</t>
        </is>
      </c>
      <c r="E11" s="10" t="n"/>
      <c r="F11" s="11" t="inlineStr">
        <is>
          <t>офис в Москве, Валищево, Нижний Новгород, Петербург, Минск, Алматы</t>
        </is>
      </c>
      <c r="G11" s="1" t="n"/>
    </row>
    <row r="12" ht="28" customHeight="1">
      <c r="A12" s="1" t="n"/>
      <c r="B12" s="7" t="n"/>
      <c r="C12" s="13" t="inlineStr">
        <is>
          <t>≈9 600</t>
        </is>
      </c>
      <c r="D12" s="9" t="inlineStr">
        <is>
          <t>км перелётов</t>
        </is>
      </c>
      <c r="E12" s="10" t="n"/>
      <c r="F12" s="11" t="inlineStr">
        <is>
          <t>4 командировки туда и обратно, техника летит с группой</t>
        </is>
      </c>
      <c r="G12" s="1" t="n"/>
    </row>
    <row r="13" ht="28" customHeight="1">
      <c r="A13" s="1" t="n"/>
      <c r="B13" s="7" t="n"/>
      <c r="C13" s="14" t="n">
        <v>6</v>
      </c>
      <c r="D13" s="9" t="inlineStr">
        <is>
          <t>месяцев</t>
        </is>
      </c>
      <c r="E13" s="10" t="n"/>
      <c r="F13" s="11" t="inlineStr">
        <is>
          <t>с февраля по июль 2027, сдача 26 июля</t>
        </is>
      </c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1" t="n"/>
      <c r="C15" s="2" t="inlineStr">
        <is>
          <t>В О   Ч Т О   Э Т О   С К Л А Д Ы В А Е Т С Я</t>
        </is>
      </c>
      <c r="D15" s="1" t="n"/>
      <c r="E15" s="1" t="n"/>
      <c r="F15" s="1" t="n"/>
      <c r="G15" s="1" t="n"/>
    </row>
    <row r="16" ht="22" customHeight="1">
      <c r="A16" s="15" t="inlineStr"/>
      <c r="B16" s="15" t="inlineStr"/>
      <c r="C16" s="15" t="inlineStr">
        <is>
          <t>Раздел</t>
        </is>
      </c>
      <c r="D16" s="16" t="inlineStr">
        <is>
          <t>Сумма, ₽</t>
        </is>
      </c>
      <c r="E16" s="16" t="inlineStr">
        <is>
          <t>Доля</t>
        </is>
      </c>
      <c r="F16" s="15" t="inlineStr"/>
      <c r="G16" s="1" t="n"/>
    </row>
    <row r="17" ht="26" customHeight="1">
      <c r="A17" s="1" t="n"/>
      <c r="B17" s="7" t="n"/>
      <c r="C17" s="9" t="inlineStr">
        <is>
          <t>01   Подготовка</t>
        </is>
      </c>
      <c r="D17" s="17">
        <f>Смета!G5</f>
        <v/>
      </c>
      <c r="E17" s="18">
        <f>IF(Смета!$G$51=0,0,D17/Смета!$G$51)</f>
        <v/>
      </c>
      <c r="F17" s="19">
        <f>REPT("█",ROUND(E17*80,0))</f>
        <v/>
      </c>
      <c r="G17" s="1" t="n"/>
    </row>
    <row r="18" ht="26" customHeight="1">
      <c r="A18" s="1" t="n"/>
      <c r="B18" s="7" t="n"/>
      <c r="C18" s="9" t="inlineStr">
        <is>
          <t>02   Съёмки и командировки</t>
        </is>
      </c>
      <c r="D18" s="17">
        <f>Смета!G13</f>
        <v/>
      </c>
      <c r="E18" s="18">
        <f>IF(Смета!$G$51=0,0,D18/Смета!$G$51)</f>
        <v/>
      </c>
      <c r="F18" s="20">
        <f>REPT("█",ROUND(E18*80,0))</f>
        <v/>
      </c>
      <c r="G18" s="1" t="n"/>
    </row>
    <row r="19" ht="26" customHeight="1">
      <c r="A19" s="1" t="n"/>
      <c r="B19" s="7" t="n"/>
      <c r="C19" s="9" t="inlineStr">
        <is>
          <t>03   Архив и стоки</t>
        </is>
      </c>
      <c r="D19" s="17">
        <f>Смета!G22</f>
        <v/>
      </c>
      <c r="E19" s="18">
        <f>IF(Смета!$G$51=0,0,D19/Смета!$G$51)</f>
        <v/>
      </c>
      <c r="F19" s="21">
        <f>REPT("█",ROUND(E19*80,0))</f>
        <v/>
      </c>
      <c r="G19" s="1" t="n"/>
    </row>
    <row r="20" ht="26" customHeight="1">
      <c r="A20" s="1" t="n"/>
      <c r="B20" s="7" t="n"/>
      <c r="C20" s="9" t="inlineStr">
        <is>
          <t>04   Монтаж и цвет</t>
        </is>
      </c>
      <c r="D20" s="17">
        <f>Смета!G26</f>
        <v/>
      </c>
      <c r="E20" s="18">
        <f>IF(Смета!$G$51=0,0,D20/Смета!$G$51)</f>
        <v/>
      </c>
      <c r="F20" s="22">
        <f>REPT("█",ROUND(E20*80,0))</f>
        <v/>
      </c>
      <c r="G20" s="1" t="n"/>
    </row>
    <row r="21" ht="26" customHeight="1">
      <c r="A21" s="1" t="n"/>
      <c r="B21" s="7" t="n"/>
      <c r="C21" s="9" t="inlineStr">
        <is>
          <t>05   Дизайн и графика</t>
        </is>
      </c>
      <c r="D21" s="17">
        <f>Смета!G33</f>
        <v/>
      </c>
      <c r="E21" s="18">
        <f>IF(Смета!$G$51=0,0,D21/Смета!$G$51)</f>
        <v/>
      </c>
      <c r="F21" s="23">
        <f>REPT("█",ROUND(E21*80,0))</f>
        <v/>
      </c>
      <c r="G21" s="1" t="n"/>
    </row>
    <row r="22" ht="26" customHeight="1">
      <c r="A22" s="1" t="n"/>
      <c r="B22" s="7" t="n"/>
      <c r="C22" s="9" t="inlineStr">
        <is>
          <t>06   Звук и озвучка</t>
        </is>
      </c>
      <c r="D22" s="17">
        <f>Смета!G41</f>
        <v/>
      </c>
      <c r="E22" s="18">
        <f>IF(Смета!$G$51=0,0,D22/Смета!$G$51)</f>
        <v/>
      </c>
      <c r="F22" s="24">
        <f>REPT("█",ROUND(E22*80,0))</f>
        <v/>
      </c>
      <c r="G22" s="1" t="n"/>
    </row>
    <row r="23" ht="26" customHeight="1">
      <c r="A23" s="1" t="n"/>
      <c r="B23" s="7" t="n"/>
      <c r="C23" s="9" t="inlineStr">
        <is>
          <t>07   Продюсирование</t>
        </is>
      </c>
      <c r="D23" s="17">
        <f>Смета!G47</f>
        <v/>
      </c>
      <c r="E23" s="18">
        <f>IF(Смета!$G$51=0,0,D23/Смета!$G$51)</f>
        <v/>
      </c>
      <c r="F23" s="25">
        <f>REPT("█",ROUND(E23*80,0))</f>
        <v/>
      </c>
      <c r="G23" s="1" t="n"/>
    </row>
    <row r="24" ht="24" customHeight="1">
      <c r="A24" s="1" t="n"/>
      <c r="B24" s="26" t="n"/>
      <c r="C24" s="27" t="inlineStr">
        <is>
          <t>Итого без НДС</t>
        </is>
      </c>
      <c r="D24" s="28">
        <f>Смета!$G$51</f>
        <v/>
      </c>
      <c r="E24" s="26" t="n"/>
      <c r="F24" s="26" t="n"/>
      <c r="G24" s="1" t="n"/>
    </row>
    <row r="25">
      <c r="A25" s="1" t="n"/>
      <c r="B25" s="1" t="n"/>
      <c r="C25" s="4" t="inlineStr">
        <is>
          <t>По желанию, в итог не входит</t>
        </is>
      </c>
      <c r="D25" s="29">
        <f>SUM(Смета!G57:G59)</f>
        <v/>
      </c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2" t="inlineStr">
        <is>
          <t>К А К   У С Т Р О Е Н   Ф А Й Л</t>
        </is>
      </c>
      <c r="D27" s="1" t="n"/>
      <c r="E27" s="1" t="n"/>
      <c r="F27" s="1" t="n"/>
      <c r="G27" s="1" t="n"/>
    </row>
    <row r="28">
      <c r="A28" s="1" t="n"/>
      <c r="B28" s="1" t="n"/>
      <c r="C28" s="30" t="inlineStr">
        <is>
          <t>Смета</t>
        </is>
      </c>
      <c r="D28" s="4" t="inlineStr">
        <is>
          <t>все строки по разделам, у каждой пояснение, что входит и зачем</t>
        </is>
      </c>
      <c r="E28" s="1" t="n"/>
      <c r="F28" s="1" t="n"/>
      <c r="G28" s="1" t="n"/>
    </row>
    <row r="29">
      <c r="A29" s="1" t="n"/>
      <c r="B29" s="1" t="n"/>
      <c r="C29" s="30" t="inlineStr">
        <is>
          <t>Съёмки</t>
        </is>
      </c>
      <c r="D29" s="4" t="inlineStr">
        <is>
          <t>расчёт по каждому городу: группа, техника, перелёт, гостиница, трансферы, суточные</t>
        </is>
      </c>
      <c r="E29" s="1" t="n"/>
      <c r="F29" s="1" t="n"/>
      <c r="G29" s="1" t="n"/>
    </row>
    <row r="30">
      <c r="A30" s="1" t="n"/>
      <c r="B30" s="1" t="n"/>
      <c r="C30" s="30" t="inlineStr">
        <is>
          <t>Ставки</t>
        </is>
      </c>
      <c r="D30" s="4" t="inlineStr">
        <is>
          <t>ставки группы, техника, суточные, НДС</t>
        </is>
      </c>
      <c r="E30" s="1" t="n"/>
      <c r="F30" s="1" t="n"/>
      <c r="G30" s="1" t="n"/>
    </row>
    <row r="31">
      <c r="A31" s="1" t="n"/>
      <c r="B31" s="1" t="n"/>
      <c r="C31" s="30" t="inlineStr">
        <is>
          <t>Вопросы</t>
        </is>
      </c>
      <c r="D31" s="4" t="inlineStr">
        <is>
          <t>почему трое, почему две смены, где можно сэкономить</t>
        </is>
      </c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31" t="inlineStr">
        <is>
          <t>жёлтое можно менять</t>
        </is>
      </c>
      <c r="D33" s="32" t="inlineStr">
        <is>
          <t>итоги и доли пересчитаются сами</t>
        </is>
      </c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33" t="inlineStr">
        <is>
          <t>Живая версия с пояснениями: hand-marketing.ru/for/alidi (пароль alidi)</t>
        </is>
      </c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32" t="inlineStr">
        <is>
          <t>Hand Marketing · hand-marketing.ru · +7 985 999 87 83 · anarodetsky@hand-marketing.ru</t>
        </is>
      </c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</sheetData>
  <mergeCells count="6">
    <mergeCell ref="D10:E10"/>
    <mergeCell ref="C4:F4"/>
    <mergeCell ref="D11:E11"/>
    <mergeCell ref="D13:E13"/>
    <mergeCell ref="C7:F7"/>
    <mergeCell ref="D12:E12"/>
  </mergeCells>
  <hyperlinks>
    <hyperlink xmlns:r="http://schemas.openxmlformats.org/officeDocument/2006/relationships" ref="C35" r:id="rId1"/>
  </hyperlinks>
  <pageMargins left="0.75" right="0.75" top="1" bottom="1" header="0.5" footer="0.5"/>
  <pageSetup orientation="landscape" fitToHeight="0" fitToWidth="1"/>
  <headerFooter>
    <oddHeader/>
    <oddFooter>&amp;CHand Marketing для ГК АЛИДИ · драфт-бюджет от 20 октября 2026 · стр. &amp;P из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93C01F"/>
    <outlinePr summaryBelow="1" summaryRight="1"/>
    <pageSetUpPr fitToPage="1"/>
  </sheetPr>
  <dimension ref="A1:J67"/>
  <sheetViews>
    <sheetView showGridLines="0" zoomScale="100"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11" customWidth="1" min="4" max="4"/>
    <col width="8" customWidth="1" min="5" max="5"/>
    <col width="12" customWidth="1" min="6" max="6"/>
    <col width="14" customWidth="1" min="7" max="7"/>
    <col width="34" customWidth="1" min="8" max="8"/>
    <col width="62" customWidth="1" min="9" max="9"/>
    <col width="3" customWidth="1" min="10" max="10"/>
  </cols>
  <sheetData>
    <row r="1" ht="18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24" customHeight="1">
      <c r="A3" s="15" t="inlineStr"/>
      <c r="B3" s="15" t="inlineStr">
        <is>
          <t>№</t>
        </is>
      </c>
      <c r="C3" s="15" t="inlineStr">
        <is>
          <t>Статья</t>
        </is>
      </c>
      <c r="D3" s="15" t="inlineStr">
        <is>
          <t>Ед.</t>
        </is>
      </c>
      <c r="E3" s="16" t="inlineStr">
        <is>
          <t>Кол-во</t>
        </is>
      </c>
      <c r="F3" s="16" t="inlineStr">
        <is>
          <t>Цена, ₽</t>
        </is>
      </c>
      <c r="G3" s="16" t="inlineStr">
        <is>
          <t>Сумма, ₽</t>
        </is>
      </c>
      <c r="H3" s="15" t="inlineStr">
        <is>
          <t>Комментарий</t>
        </is>
      </c>
      <c r="I3" s="15" t="inlineStr">
        <is>
          <t>Что входит и зачем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8" customHeight="1">
      <c r="A5" s="1" t="n"/>
      <c r="B5" s="34" t="inlineStr">
        <is>
          <t>01</t>
        </is>
      </c>
      <c r="C5" s="35" t="inlineStr">
        <is>
          <t>Подготовка</t>
        </is>
      </c>
      <c r="D5" s="36" t="n"/>
      <c r="E5" s="36" t="n"/>
      <c r="F5" s="36" t="n"/>
      <c r="G5" s="37">
        <f>SUM(G6:G11)</f>
        <v/>
      </c>
      <c r="H5" s="38" t="inlineStr">
        <is>
          <t>Всё, что делаем до первого дня съёмок: от идеи до списка кадров на каждую площадку.</t>
        </is>
      </c>
      <c r="I5" s="1" t="n"/>
      <c r="J5" s="1" t="n"/>
    </row>
    <row r="6" ht="54" customHeight="1">
      <c r="A6" s="1" t="n"/>
      <c r="B6" s="39" t="inlineStr">
        <is>
          <t>1.1</t>
        </is>
      </c>
      <c r="C6" s="40" t="inlineStr">
        <is>
          <t>Две концепции до сценария (ТЗ просит две)</t>
        </is>
      </c>
      <c r="D6" s="41" t="inlineStr">
        <is>
          <t>сценарий</t>
        </is>
      </c>
      <c r="E6" s="42" t="n">
        <v>2</v>
      </c>
      <c r="F6" s="43" t="n">
        <v>110000</v>
      </c>
      <c r="G6" s="44">
        <f>E6*F6</f>
        <v/>
      </c>
      <c r="H6" s="45" t="inlineStr">
        <is>
          <t>идея, структура, закадровый текст, хронометраж</t>
        </is>
      </c>
      <c r="I6" s="45" t="inlineStr">
        <is>
          <t>ТЗ просит две концепции на выбор. Каждую доводим до сценария: структура, закадровый текст, кто в кадре и сколько длится каждая часть. Вы выбираете одну, по ней снимаем. Пять идей с этой страницы служат отправной точкой.</t>
        </is>
      </c>
      <c r="J6" s="1" t="n"/>
    </row>
    <row r="7" ht="42" customHeight="1">
      <c r="A7" s="1" t="n"/>
      <c r="B7" s="39" t="inlineStr">
        <is>
          <t>1.2</t>
        </is>
      </c>
      <c r="C7" s="40" t="inlineStr">
        <is>
          <t>Раскадровка выбранного сценария</t>
        </is>
      </c>
      <c r="D7" s="41" t="inlineStr">
        <is>
          <t>комплект</t>
        </is>
      </c>
      <c r="E7" s="42" t="n">
        <v>1</v>
      </c>
      <c r="F7" s="43" t="n">
        <v>60000</v>
      </c>
      <c r="G7" s="44">
        <f>E7*F7</f>
        <v/>
      </c>
      <c r="H7" s="45" t="inlineStr">
        <is>
          <t>кадры по сценам, как в раскадровках от 7 октября</t>
        </is>
      </c>
      <c r="I7" s="45" t="inlineStr">
        <is>
          <t>Сценарий в картинках: каждая сцена нарисована кадрами, как в карандашных раскадровках, которые мы показывали 7 октября. Генеральный директор видит фильм до съёмок, группа знает, что снимать.</t>
        </is>
      </c>
      <c r="J7" s="1" t="n"/>
    </row>
    <row r="8" ht="42" customHeight="1">
      <c r="A8" s="1" t="n"/>
      <c r="B8" s="39" t="inlineStr">
        <is>
          <t>1.3</t>
        </is>
      </c>
      <c r="C8" s="40" t="inlineStr">
        <is>
          <t>Экспликация и шотлисты на 6 площадок</t>
        </is>
      </c>
      <c r="D8" s="41" t="inlineStr">
        <is>
          <t>комплект</t>
        </is>
      </c>
      <c r="E8" s="42" t="n">
        <v>1</v>
      </c>
      <c r="F8" s="43" t="n">
        <v>70000</v>
      </c>
      <c r="G8" s="44">
        <f>E8*F8</f>
        <v/>
      </c>
      <c r="H8" s="45" t="inlineStr">
        <is>
          <t>единый список действий и формулы кадров для всех городов</t>
        </is>
      </c>
      <c r="I8" s="45" t="inlineStr">
        <is>
          <t>Для каждой площадки список кадров: что снимаем, с какой точки, в какое время и с кем. Формулы кадров одинаковые во всех городах, поэтому Минск и Алматы выглядят как одна компания.</t>
        </is>
      </c>
      <c r="J8" s="1" t="n"/>
    </row>
    <row r="9" ht="42" customHeight="1">
      <c r="A9" s="1" t="n"/>
      <c r="B9" s="39" t="inlineStr">
        <is>
          <t>1.4</t>
        </is>
      </c>
      <c r="C9" s="40" t="inlineStr">
        <is>
          <t>Подбор героев и вопросы для интервью</t>
        </is>
      </c>
      <c r="D9" s="41" t="inlineStr">
        <is>
          <t>комплект</t>
        </is>
      </c>
      <c r="E9" s="42" t="n">
        <v>1</v>
      </c>
      <c r="F9" s="43" t="n">
        <v>50000</v>
      </c>
      <c r="G9" s="44">
        <f>E9*F9</f>
        <v/>
      </c>
      <c r="H9" s="45" t="inlineStr">
        <is>
          <t>вместе с HR: стаж, должности, реплики</t>
        </is>
      </c>
      <c r="I9" s="45" t="inlineStr">
        <is>
          <t>Вместе с HR выбираем сотрудников для кадра и коротких реплик, готовим вопросы руководителям. Интервью проходит быстрее, когда человек заранее знает темы.</t>
        </is>
      </c>
      <c r="J9" s="1" t="n"/>
    </row>
    <row r="10" ht="42" customHeight="1">
      <c r="A10" s="1" t="n"/>
      <c r="B10" s="39" t="inlineStr">
        <is>
          <t>1.5</t>
        </is>
      </c>
      <c r="C10" s="40" t="inlineStr">
        <is>
          <t>Технический выезд: Москва и Валищево</t>
        </is>
      </c>
      <c r="D10" s="41" t="inlineStr">
        <is>
          <t>день</t>
        </is>
      </c>
      <c r="E10" s="42" t="n">
        <v>1</v>
      </c>
      <c r="F10" s="43" t="n">
        <v>30000</v>
      </c>
      <c r="G10" s="44">
        <f>E10*F10</f>
        <v/>
      </c>
      <c r="H10" s="45" t="inlineStr">
        <is>
          <t>точки, свет, маршруты; остальные площадки по видеосвязи и фото</t>
        </is>
      </c>
      <c r="I10" s="45" t="inlineStr">
        <is>
          <t>До съёмок приезжаем в офис и в Валищево: смотрим свет, точки, маршруты, где встать ночью. Остальные города готовим по видеосвязи и фото с площадок, без отдельной поездки.</t>
        </is>
      </c>
      <c r="J10" s="1" t="n"/>
    </row>
    <row r="11" ht="42" customHeight="1">
      <c r="A11" s="1" t="n"/>
      <c r="B11" s="39" t="inlineStr">
        <is>
          <t>1.6</t>
        </is>
      </c>
      <c r="C11" s="40" t="inlineStr">
        <is>
          <t>Сверка фактов и цифр, таблица для заполнения</t>
        </is>
      </c>
      <c r="D11" s="41" t="inlineStr">
        <is>
          <t>комплект</t>
        </is>
      </c>
      <c r="E11" s="42" t="n">
        <v>1</v>
      </c>
      <c r="F11" s="43" t="n">
        <v>30000</v>
      </c>
      <c r="G11" s="44">
        <f>E11*F11</f>
        <v/>
      </c>
      <c r="H11" s="45" t="inlineStr">
        <is>
          <t>склады, площади, бренды, сотрудники, награды</t>
        </is>
      </c>
      <c r="I11" s="45" t="inlineStr">
        <is>
          <t>Присылаем таблицу: склады, площади, бренды, сотрудники, награды. Вы заполняете, мы сверяем с сайтом и ТЗ. В кадр идёт только подтверждённая цифра с датой.</t>
        </is>
      </c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8" customHeight="1">
      <c r="A13" s="1" t="n"/>
      <c r="B13" s="46" t="inlineStr">
        <is>
          <t>02</t>
        </is>
      </c>
      <c r="C13" s="47" t="inlineStr">
        <is>
          <t>Съёмки и командировки</t>
        </is>
      </c>
      <c r="D13" s="48" t="n"/>
      <c r="E13" s="48" t="n"/>
      <c r="F13" s="48" t="n"/>
      <c r="G13" s="49">
        <f>SUM(G14:G20)</f>
        <v/>
      </c>
      <c r="H13" s="50" t="inlineStr">
        <is>
          <t>Смена до 12 часов на площадке. Едет группа из трёх человек с нашей техникой, ниже расчёт по каждому городу.</t>
        </is>
      </c>
      <c r="I13" s="1" t="n"/>
      <c r="J13" s="1" t="n"/>
    </row>
    <row r="14" ht="26" customHeight="1">
      <c r="A14" s="1" t="n"/>
      <c r="B14" s="39" t="inlineStr">
        <is>
          <t>2.1</t>
        </is>
      </c>
      <c r="C14" s="40">
        <f>Съёмки!B5</f>
        <v/>
      </c>
      <c r="D14" s="41" t="inlineStr">
        <is>
          <t>смена</t>
        </is>
      </c>
      <c r="E14" s="51">
        <f>Съёмки!D5</f>
        <v/>
      </c>
      <c r="F14" s="52">
        <f>IF(E14=0,0,G14/E14)</f>
        <v/>
      </c>
      <c r="G14" s="44">
        <f>Съёмки!R5</f>
        <v/>
      </c>
      <c r="H14" s="45">
        <f>Съёмки!C5</f>
        <v/>
      </c>
      <c r="I14" s="45" t="inlineStr">
        <is>
          <t>Москва без командировки: группа, техника и трансфер команды с техникой до офиса.</t>
        </is>
      </c>
      <c r="J14" s="1" t="n"/>
    </row>
    <row r="15" ht="26" customHeight="1">
      <c r="A15" s="1" t="n"/>
      <c r="B15" s="39" t="inlineStr">
        <is>
          <t>2.2</t>
        </is>
      </c>
      <c r="C15" s="40">
        <f>Съёмки!B6</f>
        <v/>
      </c>
      <c r="D15" s="41" t="inlineStr">
        <is>
          <t>смена</t>
        </is>
      </c>
      <c r="E15" s="51">
        <f>Съёмки!D6</f>
        <v/>
      </c>
      <c r="F15" s="52">
        <f>IF(E15=0,0,G15/E15)</f>
        <v/>
      </c>
      <c r="G15" s="44">
        <f>Съёмки!R6</f>
        <v/>
      </c>
      <c r="H15" s="45">
        <f>Съёмки!C6</f>
        <v/>
      </c>
      <c r="I15" s="45" t="inlineStr">
        <is>
          <t>Две смены: дневная и ночная смена склада отдельным выездом.</t>
        </is>
      </c>
      <c r="J15" s="1" t="n"/>
    </row>
    <row r="16" ht="26" customHeight="1">
      <c r="A16" s="1" t="n"/>
      <c r="B16" s="39" t="inlineStr">
        <is>
          <t>2.3</t>
        </is>
      </c>
      <c r="C16" s="40">
        <f>Съёмки!B7</f>
        <v/>
      </c>
      <c r="D16" s="41" t="inlineStr">
        <is>
          <t>смена</t>
        </is>
      </c>
      <c r="E16" s="51">
        <f>Съёмки!D7</f>
        <v/>
      </c>
      <c r="F16" s="52">
        <f>IF(E16=0,0,G16/E16)</f>
        <v/>
      </c>
      <c r="G16" s="44">
        <f>Съёмки!R7</f>
        <v/>
      </c>
      <c r="H16" s="45">
        <f>Съёмки!C7</f>
        <v/>
      </c>
      <c r="I16" s="45" t="inlineStr">
        <is>
          <t>группа, техника, перелёт, гостиница, трансферы команды и техники, суточные: расчёт на листе «Съёмки»</t>
        </is>
      </c>
      <c r="J16" s="1" t="n"/>
    </row>
    <row r="17" ht="26" customHeight="1">
      <c r="A17" s="1" t="n"/>
      <c r="B17" s="39" t="inlineStr">
        <is>
          <t>2.4</t>
        </is>
      </c>
      <c r="C17" s="40">
        <f>Съёмки!B8</f>
        <v/>
      </c>
      <c r="D17" s="41" t="inlineStr">
        <is>
          <t>смена</t>
        </is>
      </c>
      <c r="E17" s="51">
        <f>Съёмки!D8</f>
        <v/>
      </c>
      <c r="F17" s="52">
        <f>IF(E17=0,0,G17/E17)</f>
        <v/>
      </c>
      <c r="G17" s="44">
        <f>Съёмки!R8</f>
        <v/>
      </c>
      <c r="H17" s="45">
        <f>Съёмки!C8</f>
        <v/>
      </c>
      <c r="I17" s="45" t="inlineStr">
        <is>
          <t>группа, техника, перелёт, гостиница, трансферы команды и техники, суточные: расчёт на листе «Съёмки»</t>
        </is>
      </c>
      <c r="J17" s="1" t="n"/>
    </row>
    <row r="18" ht="26" customHeight="1">
      <c r="A18" s="1" t="n"/>
      <c r="B18" s="39" t="inlineStr">
        <is>
          <t>2.5</t>
        </is>
      </c>
      <c r="C18" s="40">
        <f>Съёмки!B9</f>
        <v/>
      </c>
      <c r="D18" s="41" t="inlineStr">
        <is>
          <t>смена</t>
        </is>
      </c>
      <c r="E18" s="51">
        <f>Съёмки!D9</f>
        <v/>
      </c>
      <c r="F18" s="52">
        <f>IF(E18=0,0,G18/E18)</f>
        <v/>
      </c>
      <c r="G18" s="44">
        <f>Съёмки!R9</f>
        <v/>
      </c>
      <c r="H18" s="45">
        <f>Съёмки!C9</f>
        <v/>
      </c>
      <c r="I18" s="45" t="inlineStr">
        <is>
          <t>группа, техника, перелёт, гостиница, трансферы команды и техники, суточные: расчёт на листе «Съёмки»</t>
        </is>
      </c>
      <c r="J18" s="1" t="n"/>
    </row>
    <row r="19" ht="26" customHeight="1">
      <c r="A19" s="1" t="n"/>
      <c r="B19" s="39" t="inlineStr">
        <is>
          <t>2.6</t>
        </is>
      </c>
      <c r="C19" s="40">
        <f>Съёмки!B10</f>
        <v/>
      </c>
      <c r="D19" s="41" t="inlineStr">
        <is>
          <t>смена</t>
        </is>
      </c>
      <c r="E19" s="51">
        <f>Съёмки!D10</f>
        <v/>
      </c>
      <c r="F19" s="52">
        <f>IF(E19=0,0,G19/E19)</f>
        <v/>
      </c>
      <c r="G19" s="44">
        <f>Съёмки!R10</f>
        <v/>
      </c>
      <c r="H19" s="45">
        <f>Съёмки!C10</f>
        <v/>
      </c>
      <c r="I19" s="45" t="inlineStr">
        <is>
          <t>группа, техника, перелёт, гостиница, трансферы команды и техники, суточные: расчёт на листе «Съёмки»</t>
        </is>
      </c>
      <c r="J19" s="1" t="n"/>
    </row>
    <row r="20" ht="26" customHeight="1">
      <c r="A20" s="1" t="n"/>
      <c r="B20" s="39" t="inlineStr">
        <is>
          <t>2.7</t>
        </is>
      </c>
      <c r="C20" s="40">
        <f>Съёмки!B11</f>
        <v/>
      </c>
      <c r="D20" s="41" t="inlineStr">
        <is>
          <t>смена</t>
        </is>
      </c>
      <c r="E20" s="51">
        <f>Съёмки!D11</f>
        <v/>
      </c>
      <c r="F20" s="52">
        <f>IF(E20=0,0,G20/E20)</f>
        <v/>
      </c>
      <c r="G20" s="44">
        <f>Съёмки!R11</f>
        <v/>
      </c>
      <c r="H20" s="45">
        <f>Съёмки!C11</f>
        <v/>
      </c>
      <c r="I20" s="45" t="inlineStr">
        <is>
          <t>Запас на погоду, перенос и доборы: кадры, которые не получилось снять в свой день.</t>
        </is>
      </c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28" customHeight="1">
      <c r="A22" s="1" t="n"/>
      <c r="B22" s="53" t="inlineStr">
        <is>
          <t>03</t>
        </is>
      </c>
      <c r="C22" s="54" t="inlineStr">
        <is>
          <t>Архив и стоки</t>
        </is>
      </c>
      <c r="D22" s="55" t="n"/>
      <c r="E22" s="55" t="n"/>
      <c r="F22" s="55" t="n"/>
      <c r="G22" s="56">
        <f>SUM(G23:G24)</f>
        <v/>
      </c>
      <c r="H22" s="57" t="inlineStr">
        <is>
          <t>То, что не снимаем сами: история компании с 1992 года и места, где АЛИДИ работает незаметно.</t>
        </is>
      </c>
      <c r="I22" s="1" t="n"/>
      <c r="J22" s="1" t="n"/>
    </row>
    <row r="23" ht="30" customHeight="1">
      <c r="A23" s="1" t="n"/>
      <c r="B23" s="39" t="inlineStr">
        <is>
          <t>3.1</t>
        </is>
      </c>
      <c r="C23" s="40" t="inlineStr">
        <is>
          <t>Оцифровка и реставрация архива с 1992 года</t>
        </is>
      </c>
      <c r="D23" s="41" t="inlineStr">
        <is>
          <t>комплект</t>
        </is>
      </c>
      <c r="E23" s="42" t="n">
        <v>1</v>
      </c>
      <c r="F23" s="43" t="n">
        <v>40000</v>
      </c>
      <c r="G23" s="44">
        <f>E23*F23</f>
        <v/>
      </c>
      <c r="H23" s="45" t="inlineStr">
        <is>
          <t>фото и видео компании, до 60 единиц</t>
        </is>
      </c>
      <c r="I23" s="45" t="inlineStr">
        <is>
          <t>Сканируем и чистим фото и видео из архива компании, до 60 единиц. Нужно для истории в версии к 35-летию.</t>
        </is>
      </c>
      <c r="J23" s="1" t="n"/>
    </row>
    <row r="24" ht="42" customHeight="1">
      <c r="A24" s="1" t="n"/>
      <c r="B24" s="39" t="inlineStr">
        <is>
          <t>3.2</t>
        </is>
      </c>
      <c r="C24" s="40" t="inlineStr">
        <is>
          <t>Стоковые кадры: розница, HoReCa, АЗС, малые филиалы</t>
        </is>
      </c>
      <c r="D24" s="41" t="inlineStr">
        <is>
          <t>клип</t>
        </is>
      </c>
      <c r="E24" s="42" t="n">
        <v>15</v>
      </c>
      <c r="F24" s="43" t="n">
        <v>6000</v>
      </c>
      <c r="G24" s="44">
        <f>E24*F24</f>
        <v/>
      </c>
      <c r="H24" s="45" t="inlineStr">
        <is>
          <t>без чужих логотипов, лицензия на все версии</t>
        </is>
      </c>
      <c r="I24" s="45" t="inlineStr">
        <is>
          <t>Магазины, кафе, АЗС и маленькие филиалы вроде Калининграда снимать отдельно дорого. Берём лицензионные кадры без чужих логотипов, лицензия покрывает все три версии. Заложили 15 клипов.</t>
        </is>
      </c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8" customHeight="1">
      <c r="A26" s="1" t="n"/>
      <c r="B26" s="58" t="inlineStr">
        <is>
          <t>04</t>
        </is>
      </c>
      <c r="C26" s="59" t="inlineStr">
        <is>
          <t>Монтаж и цвет</t>
        </is>
      </c>
      <c r="D26" s="60" t="n"/>
      <c r="E26" s="60" t="n"/>
      <c r="F26" s="60" t="n"/>
      <c r="G26" s="61">
        <f>SUM(G27:G31)</f>
        <v/>
      </c>
      <c r="H26" s="62" t="inlineStr">
        <is>
          <t>Три версии собираем отдельно, у каждой свой зритель и своя драматургия.</t>
        </is>
      </c>
      <c r="I26" s="1" t="n"/>
      <c r="J26" s="1" t="n"/>
    </row>
    <row r="27" ht="42" customHeight="1">
      <c r="A27" s="1" t="n"/>
      <c r="B27" s="39" t="inlineStr">
        <is>
          <t>4.1</t>
        </is>
      </c>
      <c r="C27" s="40" t="inlineStr">
        <is>
          <t>Разбор и синхронизация материала 12 смен</t>
        </is>
      </c>
      <c r="D27" s="41" t="inlineStr">
        <is>
          <t>комплект</t>
        </is>
      </c>
      <c r="E27" s="42" t="n">
        <v>1</v>
      </c>
      <c r="F27" s="43" t="n">
        <v>60000</v>
      </c>
      <c r="G27" s="44">
        <f>E27*F27</f>
        <v/>
      </c>
      <c r="H27" s="45" t="inlineStr">
        <is>
          <t>логирование, отбор дублей, расшифровка интервью</t>
        </is>
      </c>
      <c r="I27" s="45" t="inlineStr">
        <is>
          <t>12 смен дают много часов материала. Расшифровываем интервью, отбираем лучшие дубли и раскладываем по сценам. Без этого монтаж идёт дольше и стоит дороже.</t>
        </is>
      </c>
      <c r="J27" s="1" t="n"/>
    </row>
    <row r="28" ht="30" customHeight="1">
      <c r="A28" s="1" t="n"/>
      <c r="B28" s="39" t="inlineStr">
        <is>
          <t>4.2</t>
        </is>
      </c>
      <c r="C28" s="40" t="inlineStr">
        <is>
          <t>Монтаж: фильм к 35-летию, 4–5 минут</t>
        </is>
      </c>
      <c r="D28" s="41" t="inlineStr">
        <is>
          <t>версия</t>
        </is>
      </c>
      <c r="E28" s="42" t="n">
        <v>1</v>
      </c>
      <c r="F28" s="43" t="n">
        <v>220000</v>
      </c>
      <c r="G28" s="44">
        <f>E28*F28</f>
        <v/>
      </c>
      <c r="H28" s="45" t="inlineStr">
        <is>
          <t>три круга правок включены</t>
        </is>
      </c>
      <c r="I28" s="45" t="inlineStr">
        <is>
          <t>Главная версия для большого экрана на дне рождения компании. Три круга правок включены.</t>
        </is>
      </c>
      <c r="J28" s="1" t="n"/>
    </row>
    <row r="29" ht="30" customHeight="1">
      <c r="A29" s="1" t="n"/>
      <c r="B29" s="39" t="inlineStr">
        <is>
          <t>4.3</t>
        </is>
      </c>
      <c r="C29" s="40" t="inlineStr">
        <is>
          <t>Монтаж: партнёрская версия, 2:30–3:00</t>
        </is>
      </c>
      <c r="D29" s="41" t="inlineStr">
        <is>
          <t>версия</t>
        </is>
      </c>
      <c r="E29" s="42" t="n">
        <v>1</v>
      </c>
      <c r="F29" s="43" t="n">
        <v>140000</v>
      </c>
      <c r="G29" s="44">
        <f>E29*F29</f>
        <v/>
      </c>
      <c r="H29" s="45" t="inlineStr">
        <is>
          <t>монтируется отдельно, своя драматургия</t>
        </is>
      </c>
      <c r="I29" s="45" t="inlineStr">
        <is>
          <t>Не обрезка длинной версии, а отдельный монтаж: на переговорах и тендерах важнее масштаб и цифры, чем история. Три круга правок включены.</t>
        </is>
      </c>
      <c r="J29" s="1" t="n"/>
    </row>
    <row r="30" ht="30" customHeight="1">
      <c r="A30" s="1" t="n"/>
      <c r="B30" s="39" t="inlineStr">
        <is>
          <t>4.4</t>
        </is>
      </c>
      <c r="C30" s="40" t="inlineStr">
        <is>
          <t>Монтаж: HR-версия для HH.ru, 60–90 секунд</t>
        </is>
      </c>
      <c r="D30" s="41" t="inlineStr">
        <is>
          <t>версия</t>
        </is>
      </c>
      <c r="E30" s="42" t="n">
        <v>1</v>
      </c>
      <c r="F30" s="43" t="n">
        <v>80000</v>
      </c>
      <c r="G30" s="44">
        <f>E30*F30</f>
        <v/>
      </c>
      <c r="H30" s="45" t="inlineStr">
        <is>
          <t>вертикаль 9:16, смысл держится без звука</t>
        </is>
      </c>
      <c r="I30" s="45" t="inlineStr">
        <is>
          <t>Вертикальное видео для телефона и HH.ru. Ленту листают без звука, поэтому смысл держится на кадре и титрах. Три круга правок включены.</t>
        </is>
      </c>
      <c r="J30" s="1" t="n"/>
    </row>
    <row r="31" ht="42" customHeight="1">
      <c r="A31" s="1" t="n"/>
      <c r="B31" s="39" t="inlineStr">
        <is>
          <t>4.5</t>
        </is>
      </c>
      <c r="C31" s="40" t="inlineStr">
        <is>
          <t>Цветокоррекция: единый грейд всех площадок</t>
        </is>
      </c>
      <c r="D31" s="41" t="inlineStr">
        <is>
          <t>комплект</t>
        </is>
      </c>
      <c r="E31" s="42" t="n">
        <v>1</v>
      </c>
      <c r="F31" s="43" t="n">
        <v>140000</v>
      </c>
      <c r="G31" s="44">
        <f>E31*F31</f>
        <v/>
      </c>
      <c r="H31" s="45" t="inlineStr">
        <is>
          <t>три страны и шесть площадок выглядят как одна компания</t>
        </is>
      </c>
      <c r="I31" s="45" t="inlineStr">
        <is>
          <t>Шесть площадок снимаем в разные дни, при разной погоде и свете. Цветокоррекция приводит их к одному виду, а в «Сутках без остановки» ещё и ведёт цвет по времени дня.</t>
        </is>
      </c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8" customHeight="1">
      <c r="A33" s="1" t="n"/>
      <c r="B33" s="63" t="inlineStr">
        <is>
          <t>05</t>
        </is>
      </c>
      <c r="C33" s="64" t="inlineStr">
        <is>
          <t>Дизайн и графика</t>
        </is>
      </c>
      <c r="D33" s="65" t="n"/>
      <c r="E33" s="65" t="n"/>
      <c r="F33" s="65" t="n"/>
      <c r="G33" s="66">
        <f>SUM(G34:G39)</f>
        <v/>
      </c>
      <c r="H33" s="67" t="inlineStr">
        <is>
          <t>Всё, что появляется поверх кадра: карта, цифры, подписи, переходы.</t>
        </is>
      </c>
      <c r="I33" s="1" t="n"/>
      <c r="J33" s="1" t="n"/>
    </row>
    <row r="34" ht="42" customHeight="1">
      <c r="A34" s="1" t="n"/>
      <c r="B34" s="39" t="inlineStr">
        <is>
          <t>5.1</t>
        </is>
      </c>
      <c r="C34" s="40" t="inlineStr">
        <is>
          <t>Дизайн-концепция графики по брендбуку</t>
        </is>
      </c>
      <c r="D34" s="41" t="inlineStr">
        <is>
          <t>комплект</t>
        </is>
      </c>
      <c r="E34" s="42" t="n">
        <v>1</v>
      </c>
      <c r="F34" s="43" t="n">
        <v>90000</v>
      </c>
      <c r="G34" s="44">
        <f>E34*F34</f>
        <v/>
      </c>
      <c r="H34" s="45" t="inlineStr">
        <is>
          <t>стилфреймы, шрифты, треугольник «А» как знак</t>
        </is>
      </c>
      <c r="I34" s="45" t="inlineStr">
        <is>
          <t>Сначала показываем несколько кадров с графикой в стиле вашего брендбука: шрифты, цвета, треугольник «А». Вы утверждаете стиль, дальше вся графика делается в нём.</t>
        </is>
      </c>
      <c r="J34" s="1" t="n"/>
    </row>
    <row r="35" ht="42" customHeight="1">
      <c r="A35" s="1" t="n"/>
      <c r="B35" s="39" t="inlineStr">
        <is>
          <t>5.2</t>
        </is>
      </c>
      <c r="C35" s="40" t="inlineStr">
        <is>
          <t>Анимированная карта: Россия, Беларусь, Казахстан</t>
        </is>
      </c>
      <c r="D35" s="41" t="inlineStr">
        <is>
          <t>комплект</t>
        </is>
      </c>
      <c r="E35" s="42" t="n">
        <v>1</v>
      </c>
      <c r="F35" s="43" t="n">
        <v>180000</v>
      </c>
      <c r="G35" s="44">
        <f>E35*F35</f>
        <v/>
      </c>
      <c r="H35" s="45" t="inlineStr">
        <is>
          <t>точки всплывают, на каждую короткий кадр</t>
        </is>
      </c>
      <c r="I35" s="45" t="inlineStr">
        <is>
          <t>Три страны на одной карте, точки всплывают от Калининграда до Алматы, на каждую короткий кадр с площадки. Примеры из наших роликов есть ниже на странице, в блоке «Карта в фильме».</t>
        </is>
      </c>
      <c r="J35" s="1" t="n"/>
    </row>
    <row r="36" ht="42" customHeight="1">
      <c r="A36" s="1" t="n"/>
      <c r="B36" s="39" t="inlineStr">
        <is>
          <t>5.3</t>
        </is>
      </c>
      <c r="C36" s="40" t="inlineStr">
        <is>
          <t>Инфографика: цифры и факты в кадре</t>
        </is>
      </c>
      <c r="D36" s="41" t="inlineStr">
        <is>
          <t>плашка</t>
        </is>
      </c>
      <c r="E36" s="42" t="n">
        <v>12</v>
      </c>
      <c r="F36" s="43" t="n">
        <v>15000</v>
      </c>
      <c r="G36" s="44">
        <f>E36*F36</f>
        <v/>
      </c>
      <c r="H36" s="45" t="inlineStr">
        <is>
          <t>склады, площади, бренды, люди, по одной цифре на кадр</t>
        </is>
      </c>
      <c r="I36" s="45" t="inlineStr">
        <is>
          <t>Анимированные цифры поверх живых кадров: склады, площади, бренды, сотрудники. Одна цифра на кадр, чтобы успели прочитать. Заложили 12, точное число зависит от сценария.</t>
        </is>
      </c>
      <c r="J36" s="1" t="n"/>
    </row>
    <row r="37" ht="30" customHeight="1">
      <c r="A37" s="1" t="n"/>
      <c r="B37" s="39" t="inlineStr">
        <is>
          <t>5.4</t>
        </is>
      </c>
      <c r="C37" s="40" t="inlineStr">
        <is>
          <t>Подписи героев, титры, заставки</t>
        </is>
      </c>
      <c r="D37" s="41" t="inlineStr">
        <is>
          <t>комплект</t>
        </is>
      </c>
      <c r="E37" s="42" t="n">
        <v>1</v>
      </c>
      <c r="F37" s="43" t="n">
        <v>70000</v>
      </c>
      <c r="G37" s="44">
        <f>E37*F37</f>
        <v/>
      </c>
      <c r="H37" s="45" t="inlineStr">
        <is>
          <t>имена и должности, открывающий и финальный титры</t>
        </is>
      </c>
      <c r="I37" s="45" t="inlineStr">
        <is>
          <t>Имя и должность у каждого героя, открывающий и финальный титры, заставки между частями фильма.</t>
        </is>
      </c>
      <c r="J37" s="1" t="n"/>
    </row>
    <row r="38" ht="30" customHeight="1">
      <c r="A38" s="1" t="n"/>
      <c r="B38" s="39" t="inlineStr">
        <is>
          <t>5.5</t>
        </is>
      </c>
      <c r="C38" s="40" t="inlineStr">
        <is>
          <t>Анимированные объекты и переходы</t>
        </is>
      </c>
      <c r="D38" s="41" t="inlineStr">
        <is>
          <t>комплект</t>
        </is>
      </c>
      <c r="E38" s="42" t="n">
        <v>1</v>
      </c>
      <c r="F38" s="43" t="n">
        <v>90000</v>
      </c>
      <c r="G38" s="44">
        <f>E38*F38</f>
        <v/>
      </c>
      <c r="H38" s="45" t="inlineStr">
        <is>
          <t>метка времени, переходы между городами</t>
        </is>
      </c>
      <c r="I38" s="45" t="inlineStr">
        <is>
          <t>Метка времени в кадре, переходы между городами, фирменный знак в движении.</t>
        </is>
      </c>
      <c r="J38" s="1" t="n"/>
    </row>
    <row r="39" ht="30" customHeight="1">
      <c r="A39" s="1" t="n"/>
      <c r="B39" s="39" t="inlineStr">
        <is>
          <t>5.6</t>
        </is>
      </c>
      <c r="C39" s="40" t="inlineStr">
        <is>
          <t>Адаптация графики под вертикаль</t>
        </is>
      </c>
      <c r="D39" s="41" t="inlineStr">
        <is>
          <t>комплект</t>
        </is>
      </c>
      <c r="E39" s="42" t="n">
        <v>1</v>
      </c>
      <c r="F39" s="43" t="n">
        <v>50000</v>
      </c>
      <c r="G39" s="44">
        <f>E39*F39</f>
        <v/>
      </c>
      <c r="H39" s="45" t="inlineStr">
        <is>
          <t>HR-версия</t>
        </is>
      </c>
      <c r="I39" s="45" t="inlineStr">
        <is>
          <t>Графику горизонтальной версии перекомпоновываем под экран телефона, иначе текст не читается.</t>
        </is>
      </c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28" customHeight="1">
      <c r="A41" s="1" t="n"/>
      <c r="B41" s="68" t="inlineStr">
        <is>
          <t>06</t>
        </is>
      </c>
      <c r="C41" s="69" t="inlineStr">
        <is>
          <t>Звук и озвучка</t>
        </is>
      </c>
      <c r="D41" s="70" t="n"/>
      <c r="E41" s="70" t="n"/>
      <c r="F41" s="70" t="n"/>
      <c r="G41" s="71">
        <f>SUM(G42:G45)</f>
        <v/>
      </c>
      <c r="H41" s="72" t="inlineStr">
        <is>
          <t>Голос диктора, музыка и чистый звук интервью для трёх версий.</t>
        </is>
      </c>
      <c r="I41" s="1" t="n"/>
      <c r="J41" s="1" t="n"/>
    </row>
    <row r="42" ht="30" customHeight="1">
      <c r="A42" s="1" t="n"/>
      <c r="B42" s="39" t="inlineStr">
        <is>
          <t>6.1</t>
        </is>
      </c>
      <c r="C42" s="40" t="inlineStr">
        <is>
          <t>Диктор: запись трёх версий в студии</t>
        </is>
      </c>
      <c r="D42" s="41" t="inlineStr">
        <is>
          <t>версия</t>
        </is>
      </c>
      <c r="E42" s="42" t="n">
        <v>3</v>
      </c>
      <c r="F42" s="43" t="n">
        <v>25000</v>
      </c>
      <c r="G42" s="44">
        <f>E42*F42</f>
        <v/>
      </c>
      <c r="H42" s="45" t="inlineStr">
        <is>
          <t>профессиональный голос, права на использование</t>
        </is>
      </c>
      <c r="I42" s="45" t="inlineStr">
        <is>
          <t>Профессиональный диктор, запись в студии, права на голос во всех версиях. У каждой версии свой текст, поэтому три записи.</t>
        </is>
      </c>
      <c r="J42" s="1" t="n"/>
    </row>
    <row r="43" ht="30" customHeight="1">
      <c r="A43" s="1" t="n"/>
      <c r="B43" s="39" t="inlineStr">
        <is>
          <t>6.2</t>
        </is>
      </c>
      <c r="C43" s="40" t="inlineStr">
        <is>
          <t>Музыка: лицензия на трек</t>
        </is>
      </c>
      <c r="D43" s="41" t="inlineStr">
        <is>
          <t>трек</t>
        </is>
      </c>
      <c r="E43" s="42" t="n">
        <v>3</v>
      </c>
      <c r="F43" s="43" t="n">
        <v>25000</v>
      </c>
      <c r="G43" s="44">
        <f>E43*F43</f>
        <v/>
      </c>
      <c r="H43" s="45" t="inlineStr">
        <is>
          <t>расширенная лицензия, все площадки показа</t>
        </is>
      </c>
      <c r="I43" s="45" t="inlineStr">
        <is>
          <t>Лицензионный трек на каждую версию. Расширенная лицензия разрешает показ на мероприятии, на сайте, в соцсетях и на HH.ru.</t>
        </is>
      </c>
      <c r="J43" s="1" t="n"/>
    </row>
    <row r="44" ht="30" customHeight="1">
      <c r="A44" s="1" t="n"/>
      <c r="B44" s="39" t="inlineStr">
        <is>
          <t>6.3</t>
        </is>
      </c>
      <c r="C44" s="40" t="inlineStr">
        <is>
          <t>Звук: чистка интервью, монтаж и сведение</t>
        </is>
      </c>
      <c r="D44" s="41" t="inlineStr">
        <is>
          <t>версия</t>
        </is>
      </c>
      <c r="E44" s="42" t="n">
        <v>3</v>
      </c>
      <c r="F44" s="43" t="n">
        <v>30000</v>
      </c>
      <c r="G44" s="44">
        <f>E44*F44</f>
        <v/>
      </c>
      <c r="H44" s="45" t="inlineStr">
        <is>
          <t>зал, ТВ и ПК, телефон</t>
        </is>
      </c>
      <c r="I44" s="45" t="inlineStr">
        <is>
          <t>Убираем из интервью шум склада, сводим голос, музыку и шумы. Отдельно под зал, ТВ и компьютер, отдельно под телефон.</t>
        </is>
      </c>
      <c r="J44" s="1" t="n"/>
    </row>
    <row r="45" ht="30" customHeight="1">
      <c r="A45" s="1" t="n"/>
      <c r="B45" s="39" t="inlineStr">
        <is>
          <t>6.4</t>
        </is>
      </c>
      <c r="C45" s="40" t="inlineStr">
        <is>
          <t>Вшитые субтитры</t>
        </is>
      </c>
      <c r="D45" s="41" t="inlineStr">
        <is>
          <t>версия</t>
        </is>
      </c>
      <c r="E45" s="42" t="n">
        <v>3</v>
      </c>
      <c r="F45" s="43" t="n">
        <v>8000</v>
      </c>
      <c r="G45" s="44">
        <f>E45*F45</f>
        <v/>
      </c>
      <c r="H45" s="45" t="inlineStr">
        <is>
          <t>фильм понятен без звука</t>
        </is>
      </c>
      <c r="I45" s="45" t="inlineStr">
        <is>
          <t>Ключевые фразы вшиты в кадр. Фильм понятен без звука: на тендере и в ленте его часто смотрят именно так.</t>
        </is>
      </c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28" customHeight="1">
      <c r="A47" s="1" t="n"/>
      <c r="B47" s="73" t="inlineStr">
        <is>
          <t>07</t>
        </is>
      </c>
      <c r="C47" s="74" t="inlineStr">
        <is>
          <t>Продюсирование</t>
        </is>
      </c>
      <c r="D47" s="75" t="n"/>
      <c r="E47" s="75" t="n"/>
      <c r="F47" s="75" t="n"/>
      <c r="G47" s="76">
        <f>SUM(G48:G49)</f>
        <v/>
      </c>
      <c r="H47" s="77" t="inlineStr">
        <is>
          <t>Один человек ведёт проект с февраля по июль 2027 года и отвечает за сроки.</t>
        </is>
      </c>
      <c r="I47" s="1" t="n"/>
      <c r="J47" s="1" t="n"/>
    </row>
    <row r="48" ht="30" customHeight="1">
      <c r="A48" s="1" t="n"/>
      <c r="B48" s="39" t="inlineStr">
        <is>
          <t>7.1</t>
        </is>
      </c>
      <c r="C48" s="40" t="inlineStr">
        <is>
          <t>Продюсер проекта, единое окно</t>
        </is>
      </c>
      <c r="D48" s="41" t="inlineStr">
        <is>
          <t>месяц</t>
        </is>
      </c>
      <c r="E48" s="42" t="n">
        <v>6</v>
      </c>
      <c r="F48" s="43" t="n">
        <v>50000</v>
      </c>
      <c r="G48" s="44">
        <f>E48*F48</f>
        <v/>
      </c>
      <c r="H48" s="45" t="inlineStr">
        <is>
          <t>февраль–июль 2027: даты по загрузке складов, логистика, согласования</t>
        </is>
      </c>
      <c r="I48" s="45" t="inlineStr">
        <is>
          <t>Ваш контакт с февраля по июль 2027 года: согласует даты по загрузке складов, бронирует поездки, собирает правки и отвечает за сроки.</t>
        </is>
      </c>
      <c r="J48" s="1" t="n"/>
    </row>
    <row r="49" ht="30" customHeight="1">
      <c r="A49" s="1" t="n"/>
      <c r="B49" s="39" t="inlineStr">
        <is>
          <t>7.2</t>
        </is>
      </c>
      <c r="C49" s="40" t="inlineStr">
        <is>
          <t>Мастер-файлы и хранение исходников</t>
        </is>
      </c>
      <c r="D49" s="41" t="inlineStr">
        <is>
          <t>комплект</t>
        </is>
      </c>
      <c r="E49" s="42" t="n">
        <v>1</v>
      </c>
      <c r="F49" s="43" t="n">
        <v>20000</v>
      </c>
      <c r="G49" s="44">
        <f>E49*F49</f>
        <v/>
      </c>
      <c r="H49" s="45" t="inlineStr">
        <is>
          <t>выгрузка под зал, ТВ, ПК и HH.ru; исходники хранятся 3 года</t>
        </is>
      </c>
      <c r="I49" s="45" t="inlineStr">
        <is>
          <t>Готовые файлы под каждый экран: зал, ТВ, компьютер, телефон. Исходники храним три года на случай перемонтажа.</t>
        </is>
      </c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22" customHeight="1">
      <c r="A51" s="1" t="n"/>
      <c r="B51" s="26" t="n"/>
      <c r="C51" s="78" t="inlineStr">
        <is>
          <t>Итого без НДС</t>
        </is>
      </c>
      <c r="D51" s="26" t="n"/>
      <c r="E51" s="26" t="n"/>
      <c r="F51" s="26" t="n"/>
      <c r="G51" s="79">
        <f>G5+G13+G22+G26+G33+G41+G47</f>
        <v/>
      </c>
      <c r="H51" s="26" t="n"/>
      <c r="I51" s="26" t="n"/>
      <c r="J51" s="1" t="n"/>
    </row>
    <row r="52" ht="22" customHeight="1">
      <c r="A52" s="1" t="n"/>
      <c r="B52" s="1" t="n"/>
      <c r="C52" s="80" t="inlineStr">
        <is>
          <t>НДС 22%</t>
        </is>
      </c>
      <c r="D52" s="1" t="n"/>
      <c r="E52" s="1" t="n"/>
      <c r="F52" s="1" t="n"/>
      <c r="G52" s="81">
        <f>ROUND(G51*Ставки!$D$14,0)</f>
        <v/>
      </c>
      <c r="H52" s="1" t="n"/>
      <c r="I52" s="1" t="n"/>
      <c r="J52" s="1" t="n"/>
    </row>
    <row r="53" ht="34" customHeight="1">
      <c r="A53" s="1" t="n"/>
      <c r="B53" s="82" t="n"/>
      <c r="C53" s="83" t="inlineStr">
        <is>
          <t>Итого с НДС</t>
        </is>
      </c>
      <c r="D53" s="82" t="n"/>
      <c r="E53" s="82" t="n"/>
      <c r="F53" s="82" t="n"/>
      <c r="G53" s="84">
        <f>G51+G52</f>
        <v/>
      </c>
      <c r="H53" s="85" t="inlineStr">
        <is>
          <t>с НДС 22%, в рублях</t>
        </is>
      </c>
      <c r="I53" s="82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 ht="28" customHeight="1">
      <c r="A56" s="1" t="n"/>
      <c r="B56" s="86" t="n"/>
      <c r="C56" s="87" t="inlineStr">
        <is>
          <t>По желанию: в итог не входит</t>
        </is>
      </c>
      <c r="D56" s="86" t="n"/>
      <c r="E56" s="86" t="n"/>
      <c r="F56" s="86" t="n"/>
      <c r="G56" s="86" t="n"/>
      <c r="H56" s="86" t="n"/>
      <c r="I56" s="86" t="n"/>
      <c r="J56" s="1" t="n"/>
    </row>
    <row r="57" ht="28" customHeight="1">
      <c r="A57" s="1" t="n"/>
      <c r="B57" s="88" t="n"/>
      <c r="C57" s="40" t="inlineStr">
        <is>
          <t>Казань: съёмка 2 смены с командировкой</t>
        </is>
      </c>
      <c r="D57" s="41" t="inlineStr">
        <is>
          <t>смена</t>
        </is>
      </c>
      <c r="E57" s="51">
        <f>Съёмки!D15</f>
        <v/>
      </c>
      <c r="F57" s="52">
        <f>IF(E57=0,0,G57/E57)</f>
        <v/>
      </c>
      <c r="G57" s="44">
        <f>Съёмки!R15</f>
        <v/>
      </c>
      <c r="H57" s="11" t="inlineStr">
        <is>
          <t>крупный склад, офис, команда продаж и город</t>
        </is>
      </c>
      <c r="I57" s="88" t="n"/>
      <c r="J57" s="1" t="n"/>
    </row>
    <row r="58" ht="28" customHeight="1">
      <c r="A58" s="1" t="n"/>
      <c r="B58" s="88" t="n"/>
      <c r="C58" s="40" t="inlineStr">
        <is>
          <t>Аэросъёмка там, где разрешат</t>
        </is>
      </c>
      <c r="D58" s="41" t="inlineStr">
        <is>
          <t>площадка</t>
        </is>
      </c>
      <c r="E58" s="42" t="n">
        <v>5</v>
      </c>
      <c r="F58" s="43" t="n">
        <v>30000</v>
      </c>
      <c r="G58" s="44">
        <f>E58*F58</f>
        <v/>
      </c>
      <c r="H58" s="11" t="inlineStr">
        <is>
          <t>иначе верхняя точка здания или мачта, без доплаты</t>
        </is>
      </c>
      <c r="I58" s="88" t="n"/>
      <c r="J58" s="1" t="n"/>
    </row>
    <row r="59" ht="28" customHeight="1">
      <c r="A59" s="1" t="n"/>
      <c r="B59" s="88" t="n"/>
      <c r="C59" s="40" t="inlineStr">
        <is>
          <t>Авторская музыка вместо лицензии</t>
        </is>
      </c>
      <c r="D59" s="41" t="inlineStr">
        <is>
          <t>комплект</t>
        </is>
      </c>
      <c r="E59" s="42" t="n">
        <v>1</v>
      </c>
      <c r="F59" s="43" t="n">
        <v>150000</v>
      </c>
      <c r="G59" s="44">
        <f>E59*F59</f>
        <v/>
      </c>
      <c r="H59" s="11" t="inlineStr">
        <is>
          <t>один тематический трек и аранжировки под три версии</t>
        </is>
      </c>
      <c r="I59" s="88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28" customHeight="1">
      <c r="A61" s="1" t="n"/>
      <c r="B61" s="89" t="n"/>
      <c r="C61" s="90" t="inlineStr">
        <is>
          <t>Не входит</t>
        </is>
      </c>
      <c r="D61" s="89" t="n"/>
      <c r="E61" s="89" t="n"/>
      <c r="F61" s="89" t="n"/>
      <c r="G61" s="89" t="n"/>
      <c r="H61" s="89" t="n"/>
      <c r="I61" s="89" t="n"/>
      <c r="J61" s="1" t="n"/>
    </row>
    <row r="62" ht="24" customHeight="1">
      <c r="A62" s="1" t="n"/>
      <c r="B62" s="7" t="n"/>
      <c r="C62" s="91" t="inlineStr">
        <is>
          <t>Переводы и версии на английском и казахском: допсоглашением, посчитаем, когда понадобится.</t>
        </is>
      </c>
      <c r="D62" s="7" t="n"/>
      <c r="E62" s="7" t="n"/>
      <c r="F62" s="7" t="n"/>
      <c r="G62" s="7" t="n"/>
      <c r="H62" s="7" t="n"/>
      <c r="I62" s="7" t="n"/>
      <c r="J62" s="1" t="n"/>
    </row>
    <row r="63" ht="24" customHeight="1">
      <c r="A63" s="1" t="n"/>
      <c r="B63" s="7" t="n"/>
      <c r="C63" s="91" t="inlineStr">
        <is>
          <t>Форма, СИЗ, порядок в кадре, пропуска и остановка зоны склада на 1–3 часа: на стороне АЛИДИ, как договорились 7 октября.</t>
        </is>
      </c>
      <c r="D63" s="7" t="n"/>
      <c r="E63" s="7" t="n"/>
      <c r="F63" s="7" t="n"/>
      <c r="G63" s="7" t="n"/>
      <c r="H63" s="7" t="n"/>
      <c r="I63" s="7" t="n"/>
      <c r="J63" s="1" t="n"/>
    </row>
    <row r="64" ht="24" customHeight="1">
      <c r="A64" s="1" t="n"/>
      <c r="B64" s="7" t="n"/>
      <c r="C64" s="91" t="inlineStr">
        <is>
          <t>Профессиональный грим и актёры: не нужны, офисный дресс-код.</t>
        </is>
      </c>
      <c r="D64" s="7" t="n"/>
      <c r="E64" s="7" t="n"/>
      <c r="F64" s="7" t="n"/>
      <c r="G64" s="7" t="n"/>
      <c r="H64" s="7" t="n"/>
      <c r="I64" s="7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32" t="inlineStr">
        <is>
          <t>Hand Marketing · hand-marketing.ru · +7 985 999 87 83 · anarodetsky@hand-marketing.ru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</sheetData>
  <mergeCells count="10">
    <mergeCell ref="C64:I64"/>
    <mergeCell ref="H33:I33"/>
    <mergeCell ref="C63:I63"/>
    <mergeCell ref="H41:I41"/>
    <mergeCell ref="H5:I5"/>
    <mergeCell ref="C62:I62"/>
    <mergeCell ref="H22:I22"/>
    <mergeCell ref="H47:I47"/>
    <mergeCell ref="H13:I13"/>
    <mergeCell ref="H26:I26"/>
  </mergeCells>
  <pageMargins left="0.75" right="0.75" top="1" bottom="1" header="0.5" footer="0.5"/>
  <pageSetup orientation="landscape" fitToHeight="0" fitToWidth="1"/>
  <headerFooter>
    <oddHeader/>
    <oddFooter>&amp;CHand Marketing для ГК АЛИДИ · драфт-бюджет от 20 октября 2026 ·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DC400"/>
    <outlinePr summaryBelow="1" summaryRight="1"/>
    <pageSetUpPr fitToPage="1"/>
  </sheetPr>
  <dimension ref="A1:F2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0" customWidth="1" min="3" max="3"/>
    <col width="16" customWidth="1" min="4" max="4"/>
    <col width="3" customWidth="1" min="5" max="5"/>
  </cols>
  <sheetData>
    <row r="1" ht="180" customHeight="1">
      <c r="A1" s="1" t="n"/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n"/>
      <c r="B3" s="2" t="inlineStr">
        <is>
          <t>С Ъ Ё М О Ч Н А Я   Г Р У П П А   Н А   О Д Н У   С М Е Н У ,   Д О   1 2   Ч А С О В</t>
        </is>
      </c>
      <c r="C3" s="1" t="n"/>
      <c r="D3" s="1" t="n"/>
      <c r="E3" s="1" t="n"/>
      <c r="F3" s="1" t="n"/>
    </row>
    <row r="4" ht="26" customHeight="1">
      <c r="A4" s="1" t="n"/>
      <c r="B4" s="92" t="inlineStr">
        <is>
          <t>Режиссёр-оператор</t>
        </is>
      </c>
      <c r="C4" s="11" t="inlineStr">
        <is>
          <t>ставит и снимает, одна рука на все площадки</t>
        </is>
      </c>
      <c r="D4" s="93" t="n">
        <v>45000</v>
      </c>
      <c r="E4" s="1" t="n"/>
      <c r="F4" s="1" t="n"/>
    </row>
    <row r="5" ht="26" customHeight="1">
      <c r="A5" s="1" t="n"/>
      <c r="B5" s="92" t="inlineStr">
        <is>
          <t>Техник</t>
        </is>
      </c>
      <c r="C5" s="11" t="inlineStr">
        <is>
          <t>свет, звук, второй ракурс на интервью, данные</t>
        </is>
      </c>
      <c r="D5" s="93" t="n">
        <v>22000</v>
      </c>
      <c r="E5" s="1" t="n"/>
      <c r="F5" s="1" t="n"/>
    </row>
    <row r="6" ht="26" customHeight="1">
      <c r="A6" s="1" t="n"/>
      <c r="B6" s="92" t="inlineStr">
        <is>
          <t>Куратор сценария и съёмки</t>
        </is>
      </c>
      <c r="C6" s="11" t="inlineStr">
        <is>
          <t>шотлист, герои, реплики, логотипы и форма в кадре</t>
        </is>
      </c>
      <c r="D6" s="93" t="n">
        <v>22000</v>
      </c>
      <c r="E6" s="1" t="n"/>
      <c r="F6" s="1" t="n"/>
    </row>
    <row r="7" ht="26" customHeight="1">
      <c r="A7" s="1" t="n"/>
      <c r="B7" s="27" t="inlineStr">
        <is>
          <t>Группа за смену</t>
        </is>
      </c>
      <c r="C7" s="26" t="n"/>
      <c r="D7" s="94">
        <f>SUM(D4:D6)</f>
        <v/>
      </c>
      <c r="E7" s="1" t="n"/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2" t="inlineStr">
        <is>
          <t>О С Т А Л Ь Н Ы Е   В В О Д Н Ы Е</t>
        </is>
      </c>
      <c r="C9" s="1" t="n"/>
      <c r="D9" s="1" t="n"/>
      <c r="E9" s="1" t="n"/>
      <c r="F9" s="1" t="n"/>
    </row>
    <row r="10" ht="22" customHeight="1">
      <c r="A10" s="1" t="n"/>
      <c r="B10" s="95" t="inlineStr">
        <is>
          <t>Человек в группе</t>
        </is>
      </c>
      <c r="C10" s="96" t="inlineStr">
        <is>
          <t>едут на каждую площадку</t>
        </is>
      </c>
      <c r="D10" s="97" t="n">
        <v>3</v>
      </c>
      <c r="E10" s="1" t="n"/>
      <c r="F10" s="1" t="n"/>
    </row>
    <row r="11" ht="22" customHeight="1">
      <c r="A11" s="1" t="n"/>
      <c r="B11" s="95" t="inlineStr">
        <is>
          <t>Комплект техники на смену</t>
        </is>
      </c>
      <c r="C11" s="96" t="inlineStr">
        <is>
          <t>камера, оптика, свет, звук, стабилизатор</t>
        </is>
      </c>
      <c r="D11" s="98" t="n">
        <v>45000</v>
      </c>
      <c r="E11" s="1" t="n"/>
      <c r="F11" s="1" t="n"/>
    </row>
    <row r="12" ht="22" customHeight="1">
      <c r="A12" s="1" t="n"/>
      <c r="B12" s="95" t="inlineStr">
        <is>
          <t>Дорожный день группы</t>
        </is>
      </c>
      <c r="C12" s="96" t="inlineStr">
        <is>
          <t>день вылета и день возвращения, доля ставки</t>
        </is>
      </c>
      <c r="D12" s="99" t="n">
        <v>0.5</v>
      </c>
      <c r="E12" s="1" t="n"/>
      <c r="F12" s="1" t="n"/>
    </row>
    <row r="13" ht="22" customHeight="1">
      <c r="A13" s="1" t="n"/>
      <c r="B13" s="95" t="inlineStr">
        <is>
          <t>Суточные на человека в день</t>
        </is>
      </c>
      <c r="C13" s="96" t="inlineStr">
        <is>
          <t>за дни съёмок и два дня дороги</t>
        </is>
      </c>
      <c r="D13" s="98" t="n">
        <v>2000</v>
      </c>
      <c r="E13" s="1" t="n"/>
      <c r="F13" s="1" t="n"/>
    </row>
    <row r="14" ht="22" customHeight="1">
      <c r="A14" s="1" t="n"/>
      <c r="B14" s="95" t="inlineStr">
        <is>
          <t>НДС</t>
        </is>
      </c>
      <c r="C14" s="96" t="inlineStr">
        <is>
          <t>ставка с 1 января 2026 года</t>
        </is>
      </c>
      <c r="D14" s="99" t="n">
        <v>0.22</v>
      </c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31" t="inlineStr">
        <is>
          <t>жёлтое можно менять</t>
        </is>
      </c>
      <c r="C16" s="32" t="inlineStr">
        <is>
          <t>Ставки: оценка Hand Marketing по рынку Москвы на 2026–2027 годы, без НДС.</t>
        </is>
      </c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32" t="inlineStr">
        <is>
          <t>Hand Marketing · hand-marketing.ru · +7 985 999 87 83 · anarodetsky@hand-marketing.ru</t>
        </is>
      </c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</sheetData>
  <pageMargins left="0.75" right="0.75" top="1" bottom="1" header="0.5" footer="0.5"/>
  <pageSetup orientation="landscape" fitToHeight="0" fitToWidth="1"/>
  <headerFooter>
    <oddHeader/>
    <oddFooter>&amp;CHand Marketing для ГК АЛИДИ · драфт-бюджет от 20 октября 2026 ·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6A500"/>
    <outlinePr summaryBelow="1" summaryRight="1"/>
    <pageSetUpPr fitToPage="1"/>
  </sheetPr>
  <dimension ref="A1:S2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4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11" customWidth="1" min="17" max="17"/>
    <col width="14" customWidth="1" min="18" max="18"/>
    <col width="3" customWidth="1" min="19" max="19"/>
  </cols>
  <sheetData>
    <row r="1" ht="18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1" t="n"/>
      <c r="C3" s="1" t="n"/>
      <c r="D3" s="1" t="n"/>
      <c r="E3" s="1" t="n"/>
      <c r="F3" s="100" t="inlineStr">
        <is>
          <t>ВВОДНЫЕ ПО ГОРОДУ · МОЖНО МЕНЯТЬ</t>
        </is>
      </c>
      <c r="K3" s="101" t="inlineStr">
        <is>
          <t>РАСЧЁТ · ФОРМУЛЫ</t>
        </is>
      </c>
      <c r="S3" s="1" t="n"/>
    </row>
    <row r="4" ht="36" customHeight="1">
      <c r="A4" s="15" t="inlineStr"/>
      <c r="B4" s="15" t="inlineStr">
        <is>
          <t>Площадка</t>
        </is>
      </c>
      <c r="C4" s="15" t="inlineStr">
        <is>
          <t>Что снимаем</t>
        </is>
      </c>
      <c r="D4" s="16" t="inlineStr">
        <is>
          <t>Смен</t>
        </is>
      </c>
      <c r="E4" s="15" t="inlineStr">
        <is>
          <t>Выезд</t>
        </is>
      </c>
      <c r="F4" s="16" t="inlineStr">
        <is>
          <t>Перелёт на чел., ₽</t>
        </is>
      </c>
      <c r="G4" s="16" t="inlineStr">
        <is>
          <t>Перевес техники, ₽</t>
        </is>
      </c>
      <c r="H4" s="16" t="inlineStr">
        <is>
          <t>Гостиница, ночь, ₽</t>
        </is>
      </c>
      <c r="I4" s="16" t="inlineStr">
        <is>
          <t>Трансфер аэропорт, в одну сторону, ₽</t>
        </is>
      </c>
      <c r="J4" s="16" t="inlineStr">
        <is>
          <t>Трансфер команды и техники, день, ₽</t>
        </is>
      </c>
      <c r="K4" s="16" t="inlineStr">
        <is>
          <t>Группа, ₽</t>
        </is>
      </c>
      <c r="L4" s="16" t="inlineStr">
        <is>
          <t>Техника, ₽</t>
        </is>
      </c>
      <c r="M4" s="16" t="inlineStr">
        <is>
          <t>Дорожные дни, ₽</t>
        </is>
      </c>
      <c r="N4" s="16" t="inlineStr">
        <is>
          <t>Перелёты, ₽</t>
        </is>
      </c>
      <c r="O4" s="16" t="inlineStr">
        <is>
          <t>Гостиница, ₽</t>
        </is>
      </c>
      <c r="P4" s="16" t="inlineStr">
        <is>
          <t>Трансферы команды и техники, ₽</t>
        </is>
      </c>
      <c r="Q4" s="16" t="inlineStr">
        <is>
          <t>Суточные, ₽</t>
        </is>
      </c>
      <c r="R4" s="16" t="inlineStr">
        <is>
          <t>Всего, ₽</t>
        </is>
      </c>
      <c r="S4" s="1" t="n"/>
    </row>
    <row r="5" ht="30" customHeight="1">
      <c r="A5" s="1" t="n"/>
      <c r="B5" s="40" t="inlineStr">
        <is>
          <t>Москва, офис</t>
        </is>
      </c>
      <c r="C5" s="102" t="inlineStr">
        <is>
          <t>офис, экраны, B2B, руководители и интервью</t>
        </is>
      </c>
      <c r="D5" s="103" t="n">
        <v>1</v>
      </c>
      <c r="E5" s="103" t="n">
        <v>0</v>
      </c>
      <c r="F5" s="104" t="n">
        <v>0</v>
      </c>
      <c r="G5" s="104" t="n">
        <v>0</v>
      </c>
      <c r="H5" s="104" t="n">
        <v>0</v>
      </c>
      <c r="I5" s="104" t="n">
        <v>0</v>
      </c>
      <c r="J5" s="104" t="n">
        <v>12000</v>
      </c>
      <c r="K5" s="105">
        <f>D5*Ставки!$D$7</f>
        <v/>
      </c>
      <c r="L5" s="105">
        <f>D5*Ставки!$D$11</f>
        <v/>
      </c>
      <c r="M5" s="105">
        <f>E5*2*Ставки!$D$7*Ставки!$D$12</f>
        <v/>
      </c>
      <c r="N5" s="105">
        <f>E5*(F5*Ставки!$D$10+G5)</f>
        <v/>
      </c>
      <c r="O5" s="105">
        <f>E5*(D5+1)*H5*Ставки!$D$10</f>
        <v/>
      </c>
      <c r="P5" s="105">
        <f>E5*2*I5+D5*J5</f>
        <v/>
      </c>
      <c r="Q5" s="105">
        <f>E5*(D5+2)*Ставки!$D$13*Ставки!$D$10</f>
        <v/>
      </c>
      <c r="R5" s="106">
        <f>SUM(K5:Q5)</f>
        <v/>
      </c>
      <c r="S5" s="1" t="n"/>
    </row>
    <row r="6" ht="30" customHeight="1">
      <c r="A6" s="1" t="n"/>
      <c r="B6" s="40" t="inlineStr">
        <is>
          <t>Валищево</t>
        </is>
      </c>
      <c r="C6" s="102" t="inlineStr">
        <is>
          <t>склад днём и ночная смена отдельным выездом</t>
        </is>
      </c>
      <c r="D6" s="103" t="n">
        <v>2</v>
      </c>
      <c r="E6" s="103" t="n">
        <v>0</v>
      </c>
      <c r="F6" s="104" t="n">
        <v>0</v>
      </c>
      <c r="G6" s="104" t="n">
        <v>0</v>
      </c>
      <c r="H6" s="104" t="n">
        <v>0</v>
      </c>
      <c r="I6" s="104" t="n">
        <v>0</v>
      </c>
      <c r="J6" s="104" t="n">
        <v>12000</v>
      </c>
      <c r="K6" s="105">
        <f>D6*Ставки!$D$7</f>
        <v/>
      </c>
      <c r="L6" s="105">
        <f>D6*Ставки!$D$11</f>
        <v/>
      </c>
      <c r="M6" s="105">
        <f>E6*2*Ставки!$D$7*Ставки!$D$12</f>
        <v/>
      </c>
      <c r="N6" s="105">
        <f>E6*(F6*Ставки!$D$10+G6)</f>
        <v/>
      </c>
      <c r="O6" s="105">
        <f>E6*(D6+1)*H6*Ставки!$D$10</f>
        <v/>
      </c>
      <c r="P6" s="105">
        <f>E6*2*I6+D6*J6</f>
        <v/>
      </c>
      <c r="Q6" s="105">
        <f>E6*(D6+2)*Ставки!$D$13*Ставки!$D$10</f>
        <v/>
      </c>
      <c r="R6" s="106">
        <f>SUM(K6:Q6)</f>
        <v/>
      </c>
      <c r="S6" s="1" t="n"/>
    </row>
    <row r="7" ht="30" customHeight="1">
      <c r="A7" s="1" t="n"/>
      <c r="B7" s="40" t="inlineStr">
        <is>
          <t>Нижний Новгород</t>
        </is>
      </c>
      <c r="C7" s="102" t="inlineStr">
        <is>
          <t>склад и офис, рассвет, сотрудники со стажем, архив</t>
        </is>
      </c>
      <c r="D7" s="103" t="n">
        <v>2</v>
      </c>
      <c r="E7" s="103" t="n">
        <v>1</v>
      </c>
      <c r="F7" s="104" t="n">
        <v>14000</v>
      </c>
      <c r="G7" s="104" t="n">
        <v>12000</v>
      </c>
      <c r="H7" s="104" t="n">
        <v>7500</v>
      </c>
      <c r="I7" s="104" t="n">
        <v>4000</v>
      </c>
      <c r="J7" s="104" t="n">
        <v>14000</v>
      </c>
      <c r="K7" s="105">
        <f>D7*Ставки!$D$7</f>
        <v/>
      </c>
      <c r="L7" s="105">
        <f>D7*Ставки!$D$11</f>
        <v/>
      </c>
      <c r="M7" s="105">
        <f>E7*2*Ставки!$D$7*Ставки!$D$12</f>
        <v/>
      </c>
      <c r="N7" s="105">
        <f>E7*(F7*Ставки!$D$10+G7)</f>
        <v/>
      </c>
      <c r="O7" s="105">
        <f>E7*(D7+1)*H7*Ставки!$D$10</f>
        <v/>
      </c>
      <c r="P7" s="105">
        <f>E7*2*I7+D7*J7</f>
        <v/>
      </c>
      <c r="Q7" s="105">
        <f>E7*(D7+2)*Ставки!$D$13*Ставки!$D$10</f>
        <v/>
      </c>
      <c r="R7" s="106">
        <f>SUM(K7:Q7)</f>
        <v/>
      </c>
      <c r="S7" s="1" t="n"/>
    </row>
    <row r="8" ht="30" customHeight="1">
      <c r="A8" s="1" t="n"/>
      <c r="B8" s="40" t="inlineStr">
        <is>
          <t>Санкт-Петербург</t>
        </is>
      </c>
      <c r="C8" s="102" t="inlineStr">
        <is>
          <t>офис и склад, город для партнёрской версии</t>
        </is>
      </c>
      <c r="D8" s="103" t="n">
        <v>2</v>
      </c>
      <c r="E8" s="103" t="n">
        <v>1</v>
      </c>
      <c r="F8" s="104" t="n">
        <v>16000</v>
      </c>
      <c r="G8" s="104" t="n">
        <v>12000</v>
      </c>
      <c r="H8" s="104" t="n">
        <v>9500</v>
      </c>
      <c r="I8" s="104" t="n">
        <v>4500</v>
      </c>
      <c r="J8" s="104" t="n">
        <v>16000</v>
      </c>
      <c r="K8" s="105">
        <f>D8*Ставки!$D$7</f>
        <v/>
      </c>
      <c r="L8" s="105">
        <f>D8*Ставки!$D$11</f>
        <v/>
      </c>
      <c r="M8" s="105">
        <f>E8*2*Ставки!$D$7*Ставки!$D$12</f>
        <v/>
      </c>
      <c r="N8" s="105">
        <f>E8*(F8*Ставки!$D$10+G8)</f>
        <v/>
      </c>
      <c r="O8" s="105">
        <f>E8*(D8+1)*H8*Ставки!$D$10</f>
        <v/>
      </c>
      <c r="P8" s="105">
        <f>E8*2*I8+D8*J8</f>
        <v/>
      </c>
      <c r="Q8" s="105">
        <f>E8*(D8+2)*Ставки!$D$13*Ставки!$D$10</f>
        <v/>
      </c>
      <c r="R8" s="106">
        <f>SUM(K8:Q8)</f>
        <v/>
      </c>
      <c r="S8" s="1" t="n"/>
    </row>
    <row r="9" ht="30" customHeight="1">
      <c r="A9" s="1" t="n"/>
      <c r="B9" s="40" t="inlineStr">
        <is>
          <t>Минск</t>
        </is>
      </c>
      <c r="C9" s="102" t="inlineStr">
        <is>
          <t>вечерняя отгрузка, склад в огнях, офис</t>
        </is>
      </c>
      <c r="D9" s="103" t="n">
        <v>2</v>
      </c>
      <c r="E9" s="103" t="n">
        <v>1</v>
      </c>
      <c r="F9" s="104" t="n">
        <v>24000</v>
      </c>
      <c r="G9" s="104" t="n">
        <v>15000</v>
      </c>
      <c r="H9" s="104" t="n">
        <v>8000</v>
      </c>
      <c r="I9" s="104" t="n">
        <v>4500</v>
      </c>
      <c r="J9" s="104" t="n">
        <v>15000</v>
      </c>
      <c r="K9" s="105">
        <f>D9*Ставки!$D$7</f>
        <v/>
      </c>
      <c r="L9" s="105">
        <f>D9*Ставки!$D$11</f>
        <v/>
      </c>
      <c r="M9" s="105">
        <f>E9*2*Ставки!$D$7*Ставки!$D$12</f>
        <v/>
      </c>
      <c r="N9" s="105">
        <f>E9*(F9*Ставки!$D$10+G9)</f>
        <v/>
      </c>
      <c r="O9" s="105">
        <f>E9*(D9+1)*H9*Ставки!$D$10</f>
        <v/>
      </c>
      <c r="P9" s="105">
        <f>E9*2*I9+D9*J9</f>
        <v/>
      </c>
      <c r="Q9" s="105">
        <f>E9*(D9+2)*Ставки!$D$13*Ставки!$D$10</f>
        <v/>
      </c>
      <c r="R9" s="106">
        <f>SUM(K9:Q9)</f>
        <v/>
      </c>
      <c r="S9" s="1" t="n"/>
    </row>
    <row r="10" ht="30" customHeight="1">
      <c r="A10" s="1" t="n"/>
      <c r="B10" s="40" t="inlineStr">
        <is>
          <t>Алматы</t>
        </is>
      </c>
      <c r="C10" s="102" t="inlineStr">
        <is>
          <t>первые ворота в темноте, планёрка, рассвет, офис</t>
        </is>
      </c>
      <c r="D10" s="103" t="n">
        <v>2</v>
      </c>
      <c r="E10" s="103" t="n">
        <v>1</v>
      </c>
      <c r="F10" s="104" t="n">
        <v>52000</v>
      </c>
      <c r="G10" s="104" t="n">
        <v>25000</v>
      </c>
      <c r="H10" s="104" t="n">
        <v>11000</v>
      </c>
      <c r="I10" s="104" t="n">
        <v>5000</v>
      </c>
      <c r="J10" s="104" t="n">
        <v>18000</v>
      </c>
      <c r="K10" s="105">
        <f>D10*Ставки!$D$7</f>
        <v/>
      </c>
      <c r="L10" s="105">
        <f>D10*Ставки!$D$11</f>
        <v/>
      </c>
      <c r="M10" s="105">
        <f>E10*2*Ставки!$D$7*Ставки!$D$12</f>
        <v/>
      </c>
      <c r="N10" s="105">
        <f>E10*(F10*Ставки!$D$10+G10)</f>
        <v/>
      </c>
      <c r="O10" s="105">
        <f>E10*(D10+1)*H10*Ставки!$D$10</f>
        <v/>
      </c>
      <c r="P10" s="105">
        <f>E10*2*I10+D10*J10</f>
        <v/>
      </c>
      <c r="Q10" s="105">
        <f>E10*(D10+2)*Ставки!$D$13*Ставки!$D$10</f>
        <v/>
      </c>
      <c r="R10" s="106">
        <f>SUM(K10:Q10)</f>
        <v/>
      </c>
      <c r="S10" s="1" t="n"/>
    </row>
    <row r="11" ht="30" customHeight="1">
      <c r="A11" s="1" t="n"/>
      <c r="B11" s="40" t="inlineStr">
        <is>
          <t>Резерв, Москва</t>
        </is>
      </c>
      <c r="C11" s="102" t="inlineStr">
        <is>
          <t>погода, доборы переходов, пропущенные кадры</t>
        </is>
      </c>
      <c r="D11" s="103" t="n">
        <v>1</v>
      </c>
      <c r="E11" s="103" t="n">
        <v>0</v>
      </c>
      <c r="F11" s="104" t="n">
        <v>0</v>
      </c>
      <c r="G11" s="104" t="n">
        <v>0</v>
      </c>
      <c r="H11" s="104" t="n">
        <v>0</v>
      </c>
      <c r="I11" s="104" t="n">
        <v>0</v>
      </c>
      <c r="J11" s="104" t="n">
        <v>12000</v>
      </c>
      <c r="K11" s="105">
        <f>D11*Ставки!$D$7</f>
        <v/>
      </c>
      <c r="L11" s="105">
        <f>D11*Ставки!$D$11</f>
        <v/>
      </c>
      <c r="M11" s="105">
        <f>E11*2*Ставки!$D$7*Ставки!$D$12</f>
        <v/>
      </c>
      <c r="N11" s="105">
        <f>E11*(F11*Ставки!$D$10+G11)</f>
        <v/>
      </c>
      <c r="O11" s="105">
        <f>E11*(D11+1)*H11*Ставки!$D$10</f>
        <v/>
      </c>
      <c r="P11" s="105">
        <f>E11*2*I11+D11*J11</f>
        <v/>
      </c>
      <c r="Q11" s="105">
        <f>E11*(D11+2)*Ставки!$D$13*Ставки!$D$10</f>
        <v/>
      </c>
      <c r="R11" s="106">
        <f>SUM(K11:Q11)</f>
        <v/>
      </c>
      <c r="S11" s="1" t="n"/>
    </row>
    <row r="12" ht="28" customHeight="1">
      <c r="A12" s="1" t="n"/>
      <c r="B12" s="107" t="inlineStr">
        <is>
          <t>Итого съёмки</t>
        </is>
      </c>
      <c r="C12" s="48" t="n"/>
      <c r="D12" s="108">
        <f>SUM(D5:D11)</f>
        <v/>
      </c>
      <c r="E12" s="48" t="n"/>
      <c r="F12" s="48" t="n"/>
      <c r="G12" s="48" t="n"/>
      <c r="H12" s="48" t="n"/>
      <c r="I12" s="48" t="n"/>
      <c r="J12" s="48" t="n"/>
      <c r="K12" s="109">
        <f>SUM(K5:K11)</f>
        <v/>
      </c>
      <c r="L12" s="109">
        <f>SUM(L5:L11)</f>
        <v/>
      </c>
      <c r="M12" s="109">
        <f>SUM(M5:M11)</f>
        <v/>
      </c>
      <c r="N12" s="109">
        <f>SUM(N5:N11)</f>
        <v/>
      </c>
      <c r="O12" s="109">
        <f>SUM(O5:O11)</f>
        <v/>
      </c>
      <c r="P12" s="109">
        <f>SUM(P5:P11)</f>
        <v/>
      </c>
      <c r="Q12" s="109">
        <f>SUM(Q5:Q11)</f>
        <v/>
      </c>
      <c r="R12" s="110">
        <f>SUM(R5:R11)</f>
        <v/>
      </c>
      <c r="S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n"/>
      <c r="B14" s="2" t="inlineStr">
        <is>
          <t>О П Ц И Я ,   В   И Т О Г   Н Е   В Х О Д И Т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30" customHeight="1">
      <c r="A15" s="1" t="n"/>
      <c r="B15" s="111" t="inlineStr">
        <is>
          <t>Казань (опция)</t>
        </is>
      </c>
      <c r="C15" s="112" t="inlineStr">
        <is>
          <t>крупный склад, офис, команда продаж, город</t>
        </is>
      </c>
      <c r="D15" s="113" t="n">
        <v>2</v>
      </c>
      <c r="E15" s="113" t="n">
        <v>1</v>
      </c>
      <c r="F15" s="114" t="n">
        <v>16000</v>
      </c>
      <c r="G15" s="114" t="n">
        <v>12000</v>
      </c>
      <c r="H15" s="114" t="n">
        <v>8000</v>
      </c>
      <c r="I15" s="114" t="n">
        <v>4000</v>
      </c>
      <c r="J15" s="114" t="n">
        <v>14000</v>
      </c>
      <c r="K15" s="115">
        <f>D15*Ставки!$D$7</f>
        <v/>
      </c>
      <c r="L15" s="115">
        <f>D15*Ставки!$D$11</f>
        <v/>
      </c>
      <c r="M15" s="115">
        <f>E15*2*Ставки!$D$7*Ставки!$D$12</f>
        <v/>
      </c>
      <c r="N15" s="115">
        <f>E15*(F15*Ставки!$D$10+G15)</f>
        <v/>
      </c>
      <c r="O15" s="115">
        <f>E15*(D15+1)*H15*Ставки!$D$10</f>
        <v/>
      </c>
      <c r="P15" s="115">
        <f>E15*2*I15+D15*J15</f>
        <v/>
      </c>
      <c r="Q15" s="115">
        <f>E15*(D15+2)*Ставки!$D$13*Ставки!$D$10</f>
        <v/>
      </c>
      <c r="R15" s="116">
        <f>SUM(K15:Q15)</f>
        <v/>
      </c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2" t="inlineStr">
        <is>
          <t>К А К   С Ч И Т А Е М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4" t="inlineStr">
        <is>
          <t>Группа и техника: смены × ставку. Дорожные дни: два дня × ставку группы × долю со листа «Ставки».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4" t="inlineStr">
        <is>
          <t>Перелёт: на троих туда и обратно плюс перевес кофров. Гостиница: ночей на одну больше, чем смен, три номера.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4" t="inlineStr">
        <is>
          <t>Суточные: дни съёмок плюс два дня дороги, на каждого. Цены поездок по тарифам на февраль–май 2027, уточняем при бронировании.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32" t="inlineStr">
        <is>
          <t>Hand Marketing · hand-marketing.ru · +7 985 999 87 83 · anarodetsky@hand-marketing.ru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</sheetData>
  <mergeCells count="2">
    <mergeCell ref="F3:J3"/>
    <mergeCell ref="K3:R3"/>
  </mergeCells>
  <pageMargins left="0.75" right="0.75" top="1" bottom="1" header="0.5" footer="0.5"/>
  <pageSetup orientation="landscape" fitToHeight="0" fitToWidth="1"/>
  <headerFooter>
    <oddHeader/>
    <oddFooter>&amp;CHand Marketing для ГК АЛИДИ · драфт-бюджет от 20 октября 2026 ·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41B80"/>
    <outlinePr summaryBelow="1" summaryRight="1"/>
    <pageSetUpPr fitToPage="1"/>
  </sheetPr>
  <dimension ref="A1:E3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44" customWidth="1" min="3" max="3"/>
    <col width="80" customWidth="1" min="4" max="4"/>
    <col width="3" customWidth="1" min="5" max="5"/>
  </cols>
  <sheetData>
    <row r="1" ht="180" customHeight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 ht="71" customHeight="1">
      <c r="A3" s="1" t="n"/>
      <c r="B3" s="1" t="n"/>
      <c r="C3" s="117" t="inlineStr">
        <is>
          <t>Почему на съёмку едут трое, а не большая группа?</t>
        </is>
      </c>
      <c r="D3" s="118" t="inlineStr">
        <is>
          <t>Съёмок 12 смен в шести городах. Большую группу пришлось бы возить или нанимать на месте каждый раз, это дороже и даёт разную картинку. Одни и те же трое знают сценарий, героев и формулы кадров, поэтому снимают быстрее, а все города выглядят как одна компания. Корпоративному фильму без актёров и грима этого состава хватает: так мы снимали руководителей и сотрудников Saint-Gobain из примеров ниже.</t>
        </is>
      </c>
      <c r="E3" s="1" t="n"/>
    </row>
    <row r="4" ht="45" customHeight="1">
      <c r="A4" s="1" t="n"/>
      <c r="B4" s="1" t="n"/>
      <c r="C4" s="117" t="inlineStr">
        <is>
          <t>Почему на склады по две смены?</t>
        </is>
      </c>
      <c r="D4" s="118" t="inlineStr">
        <is>
          <t>Склад живёт по-разному утром, днём и ночью, а в «Сутках без остановки» время в титре всегда настоящее. За одну смену не успеть и склад, и офис, и интервью. В Валищево вторая смена ночная, отдельным выездом.</t>
        </is>
      </c>
      <c r="E4" s="1" t="n"/>
    </row>
    <row r="5" ht="45" customHeight="1">
      <c r="A5" s="1" t="n"/>
      <c r="B5" s="1" t="n"/>
      <c r="C5" s="117" t="inlineStr">
        <is>
          <t>Где можно сэкономить?</t>
        </is>
      </c>
      <c r="D5" s="118" t="inlineStr">
        <is>
          <t>Петербург в одну смену вместо двух: минус 184 500 ₽. Без резервной смены: минус 146 000 ₽, но тогда погода и переносы становятся риском. Меньше стоков: каждый клип 6 000 ₽. Скажите, что важнее, пересчитаем за день.</t>
        </is>
      </c>
      <c r="E5" s="1" t="n"/>
    </row>
    <row r="6" ht="34" customHeight="1">
      <c r="A6" s="1" t="n"/>
      <c r="B6" s="1" t="n"/>
      <c r="C6" s="117" t="inlineStr">
        <is>
          <t>Изменится ли сумма, если съёмки сдвинутся на весну?</t>
        </is>
      </c>
      <c r="D6" s="118" t="inlineStr">
        <is>
          <t>Почти нет: те же смены, люди и поездки. Цены на билеты и гостиницы уточняем при бронировании. Весной светлее и без снега, это меняет картинку и время съёмки, а не смету.</t>
        </is>
      </c>
      <c r="E6" s="1" t="n"/>
    </row>
    <row r="7" ht="34" customHeight="1">
      <c r="A7" s="1" t="n"/>
      <c r="B7" s="1" t="n"/>
      <c r="C7" s="117" t="inlineStr">
        <is>
          <t>Сколько правок включено?</t>
        </is>
      </c>
      <c r="D7" s="118" t="inlineStr">
        <is>
          <t>Три круга правок по каждой из трёх версий, как в ТЗ. Правки сценария до съёмок тоже входят.</t>
        </is>
      </c>
      <c r="E7" s="1" t="n"/>
    </row>
    <row r="8" ht="34" customHeight="1">
      <c r="A8" s="1" t="n"/>
      <c r="B8" s="1" t="n"/>
      <c r="C8" s="117" t="inlineStr">
        <is>
          <t>Что если понадобится английская или казахская версия?</t>
        </is>
      </c>
      <c r="D8" s="118" t="inlineStr">
        <is>
          <t>Посчитаем отдельно, когда понадобится: перевод, диктор, субтитры и графика на другом языке. Съёмки при этом не меняются.</t>
        </is>
      </c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32" t="inlineStr">
        <is>
          <t>Hand Marketing · hand-marketing.ru · +7 985 999 87 83 · anarodetsky@hand-marketing.ru</t>
        </is>
      </c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</sheetData>
  <pageMargins left="0.75" right="0.75" top="1" bottom="1" header="0.5" footer="0.5"/>
  <pageSetup orientation="landscape" fitToHeight="0" fitToWidth="1"/>
  <headerFooter>
    <oddHeader/>
    <oddFooter>&amp;CHand Marketing для ГК АЛИДИ · драфт-бюджет от 20 октября 2026 · стр. &amp;P из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2026-10-20T13:10:27Z</dcterms:created>
  <dcterms:modified xmlns:dcterms="http://purl.org/dc/terms/" xmlns:xsi="http://www.w3.org/2001/XMLSchema-instance" xsi:type="dcterms:W3CDTF">2026-10-20T13:10:32Z</dcterms:modified>
</cp:coreProperties>
</file>